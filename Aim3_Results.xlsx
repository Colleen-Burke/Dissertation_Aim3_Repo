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urke/Documents/PhD/Dissertation Things/Aim 3_Social-Immune/Aim3_Analysis/"/>
    </mc:Choice>
  </mc:AlternateContent>
  <xr:revisionPtr revIDLastSave="0" documentId="13_ncr:1_{B8BB4A38-19B4-0049-B05B-380D63FDC9DC}" xr6:coauthVersionLast="47" xr6:coauthVersionMax="47" xr10:uidLastSave="{00000000-0000-0000-0000-000000000000}"/>
  <bookViews>
    <workbookView xWindow="0" yWindow="760" windowWidth="30240" windowHeight="17760" activeTab="2" xr2:uid="{8F39A947-17A2-DC4E-BF15-68F0C1810A78}"/>
  </bookViews>
  <sheets>
    <sheet name="PCA Models" sheetId="3" r:id="rId1"/>
    <sheet name="PCs Stratified" sheetId="4" r:id="rId2"/>
    <sheet name="Biomarker OLS" sheetId="6" r:id="rId3"/>
    <sheet name="PC1 Top 10 OLS" sheetId="12" r:id="rId4"/>
    <sheet name="PC1 Stratified Top 10" sheetId="13" r:id="rId5"/>
    <sheet name="PC2 Top 10 OLS" sheetId="14" r:id="rId6"/>
    <sheet name="PC2 Stratified Top 10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4" l="1"/>
  <c r="I85" i="4"/>
  <c r="I82" i="4"/>
  <c r="I80" i="4"/>
  <c r="H58" i="3"/>
</calcChain>
</file>

<file path=xl/sharedStrings.xml><?xml version="1.0" encoding="utf-8"?>
<sst xmlns="http://schemas.openxmlformats.org/spreadsheetml/2006/main" count="10198" uniqueCount="287">
  <si>
    <t>exposure</t>
  </si>
  <si>
    <t>outcome</t>
  </si>
  <si>
    <t>term</t>
  </si>
  <si>
    <t>estimate</t>
  </si>
  <si>
    <t>std.error</t>
  </si>
  <si>
    <t>statistic</t>
  </si>
  <si>
    <t>p.value</t>
  </si>
  <si>
    <t>IFN_alpha2</t>
  </si>
  <si>
    <t>race_dichotomized</t>
  </si>
  <si>
    <t>GM_CSF</t>
  </si>
  <si>
    <t>isolation_cat_d</t>
  </si>
  <si>
    <t>IFN_lambda1</t>
  </si>
  <si>
    <t>isolation_cat_dHigh</t>
  </si>
  <si>
    <t>IFN_lambda2_3</t>
  </si>
  <si>
    <t>IL_12p70</t>
  </si>
  <si>
    <t>social_relationships_d</t>
  </si>
  <si>
    <t>social_relationships_dHigh</t>
  </si>
  <si>
    <t>sTREM_1</t>
  </si>
  <si>
    <t>IL_10</t>
  </si>
  <si>
    <t>sTREM_2</t>
  </si>
  <si>
    <t>TNF</t>
  </si>
  <si>
    <t>CX3CL1</t>
  </si>
  <si>
    <t>beta_NGF</t>
  </si>
  <si>
    <t>social_activities_d</t>
  </si>
  <si>
    <t>social_activities_dHigh</t>
  </si>
  <si>
    <t>IFN_gamma</t>
  </si>
  <si>
    <t>sRAGE</t>
  </si>
  <si>
    <t>race_f</t>
  </si>
  <si>
    <t>race_fOther</t>
  </si>
  <si>
    <t>IL_6</t>
  </si>
  <si>
    <t>IL_1beta</t>
  </si>
  <si>
    <t>IP_10</t>
  </si>
  <si>
    <t>race_fBlack</t>
  </si>
  <si>
    <t>MCP_1</t>
  </si>
  <si>
    <t>IFN_beta</t>
  </si>
  <si>
    <t>race_fUnknown</t>
  </si>
  <si>
    <t>Exposure</t>
  </si>
  <si>
    <t>Outcome</t>
  </si>
  <si>
    <t>Term</t>
  </si>
  <si>
    <t>Estimate</t>
  </si>
  <si>
    <t>Std.Error</t>
  </si>
  <si>
    <t>Statistic</t>
  </si>
  <si>
    <t>PC</t>
  </si>
  <si>
    <t>Description</t>
  </si>
  <si>
    <t>Both PC1 &amp; PC2</t>
  </si>
  <si>
    <t>PC1</t>
  </si>
  <si>
    <t>PC2</t>
  </si>
  <si>
    <t>N/A</t>
  </si>
  <si>
    <t>Proinflammatory</t>
  </si>
  <si>
    <t>Neurotrophic Signaling</t>
  </si>
  <si>
    <t xml:space="preserve">isolation_cat_dHigh  </t>
  </si>
  <si>
    <t xml:space="preserve">isolation_cat_dHigh </t>
  </si>
  <si>
    <t xml:space="preserve">race_dichotomized  </t>
  </si>
  <si>
    <t xml:space="preserve">race_dichotomized   </t>
  </si>
  <si>
    <t xml:space="preserve">race_fBlack  </t>
  </si>
  <si>
    <t xml:space="preserve">race_fUnknown  </t>
  </si>
  <si>
    <t xml:space="preserve">race_fAsian    </t>
  </si>
  <si>
    <t xml:space="preserve">race_fOther  </t>
  </si>
  <si>
    <t xml:space="preserve">race_fBlack   </t>
  </si>
  <si>
    <t xml:space="preserve">race_fAsian   </t>
  </si>
  <si>
    <t>*</t>
  </si>
  <si>
    <t>**</t>
  </si>
  <si>
    <t>Significant</t>
  </si>
  <si>
    <t>Race</t>
  </si>
  <si>
    <t>White</t>
  </si>
  <si>
    <t>Non-White</t>
  </si>
  <si>
    <t>Overall</t>
  </si>
  <si>
    <t>Significance</t>
  </si>
  <si>
    <t>social_relationships_ordinal</t>
  </si>
  <si>
    <t>Exposure Type</t>
  </si>
  <si>
    <t>Ordinal</t>
  </si>
  <si>
    <t>social_relationships_ordinalFair</t>
  </si>
  <si>
    <t>social_relationships_ordinalGood</t>
  </si>
  <si>
    <t>social_relationships_ordinalVery good</t>
  </si>
  <si>
    <t>Binary</t>
  </si>
  <si>
    <t>social_relationships_nominal</t>
  </si>
  <si>
    <t>Nominal</t>
  </si>
  <si>
    <t>social_activities_ordinal</t>
  </si>
  <si>
    <t>social_activities_nominal</t>
  </si>
  <si>
    <t>social_activities_nominalFair</t>
  </si>
  <si>
    <t>social_activities_nominalGood</t>
  </si>
  <si>
    <t>social_activities_nominalVery good</t>
  </si>
  <si>
    <t>social_activities_dLow</t>
  </si>
  <si>
    <t>social_relationships_dLow</t>
  </si>
  <si>
    <t>isolation_cat_nominal</t>
  </si>
  <si>
    <t>isolation_cat_ordinal</t>
  </si>
  <si>
    <t xml:space="preserve">isolation_cat_nominalVery Isolated   </t>
  </si>
  <si>
    <t xml:space="preserve">isolation_cat_nominalSomewhat Isolated </t>
  </si>
  <si>
    <t>isolation_cat_nominalMost Isolated</t>
  </si>
  <si>
    <t xml:space="preserve">isolation_cat_nominalVery Isolated    </t>
  </si>
  <si>
    <t xml:space="preserve">isolation_cat_nominalSomewhat Isolated  </t>
  </si>
  <si>
    <t xml:space="preserve">isolation_cat_nominalMost Isolated  </t>
  </si>
  <si>
    <t xml:space="preserve">social_relationships_ordinal.L  </t>
  </si>
  <si>
    <t xml:space="preserve">social_relationships_ordinal.Q </t>
  </si>
  <si>
    <t xml:space="preserve">social_relationships_ordinal.C </t>
  </si>
  <si>
    <t xml:space="preserve">social_relationships_ordinal.L </t>
  </si>
  <si>
    <t>social_relationships_ordinal.C</t>
  </si>
  <si>
    <t xml:space="preserve">social_activities_ordinal.L   </t>
  </si>
  <si>
    <t xml:space="preserve">social_activities_ordinal.Q </t>
  </si>
  <si>
    <t xml:space="preserve">social_activities_ordinal.C </t>
  </si>
  <si>
    <t xml:space="preserve">social_activities_ordinal.L  </t>
  </si>
  <si>
    <t xml:space="preserve">isolation_cat_ordinal.L </t>
  </si>
  <si>
    <t xml:space="preserve">isolation_cat_ordinal.Q  </t>
  </si>
  <si>
    <t>isolation_cat_ordinal.C</t>
  </si>
  <si>
    <t>isolation_cat_ordinal.Q</t>
  </si>
  <si>
    <t xml:space="preserve">isolation_cat_ordinal.C </t>
  </si>
  <si>
    <t xml:space="preserve">isolation_cat_nominalMost Isolated   </t>
  </si>
  <si>
    <t xml:space="preserve">isolation_cat_nominalMost Isolated    </t>
  </si>
  <si>
    <t xml:space="preserve">isolation_cat_ordinal.L  </t>
  </si>
  <si>
    <t xml:space="preserve">isolation_cat_ordinal.Q </t>
  </si>
  <si>
    <t xml:space="preserve">isolation_cat_ordinal.C  </t>
  </si>
  <si>
    <t>social_relationships_ordinal.L</t>
  </si>
  <si>
    <t>0.2305277661984471</t>
  </si>
  <si>
    <t>1.1187185010378382</t>
  </si>
  <si>
    <t>0.39213456134531854</t>
  </si>
  <si>
    <t>2.852894417670777</t>
  </si>
  <si>
    <t>social_relationships_nominalFair</t>
  </si>
  <si>
    <t>0.33685592901787864</t>
  </si>
  <si>
    <t>0.26433719933219646</t>
  </si>
  <si>
    <t>0.18090216837447023</t>
  </si>
  <si>
    <t>0.23180204999978996</t>
  </si>
  <si>
    <t>0.3862595570304496</t>
  </si>
  <si>
    <t>0.010014134160604817</t>
  </si>
  <si>
    <t>social_relationships_nominalGood</t>
  </si>
  <si>
    <t>0.2726649989933597</t>
  </si>
  <si>
    <t>0.25927361562381174</t>
  </si>
  <si>
    <t>0.014345647931586016</t>
  </si>
  <si>
    <t>0.2587213270310979</t>
  </si>
  <si>
    <t>social_activities_ordinal.L</t>
  </si>
  <si>
    <t>0.2698011870318722</t>
  </si>
  <si>
    <t>0.015871786038394845</t>
  </si>
  <si>
    <t>0.37805343109417583</t>
  </si>
  <si>
    <t>0.019081189614105265</t>
  </si>
  <si>
    <t>0.20764807600572666</t>
  </si>
  <si>
    <t>0.019617699223055767</t>
  </si>
  <si>
    <t>isolation_cat_nominalSomewhat Isolated</t>
  </si>
  <si>
    <t>0.2553076927991117</t>
  </si>
  <si>
    <t>0.019848827573075517</t>
  </si>
  <si>
    <t>0.6926588501773203</t>
  </si>
  <si>
    <t>0.29571282704167434</t>
  </si>
  <si>
    <t>2.342336168189637</t>
  </si>
  <si>
    <t>0.021049332678182705</t>
  </si>
  <si>
    <t>0.26001214840498227</t>
  </si>
  <si>
    <t>isolation_cat_nominalVery Isolated</t>
  </si>
  <si>
    <t>0.2982634110482961</t>
  </si>
  <si>
    <t>0.22914476068985276</t>
  </si>
  <si>
    <t>0.024303395737047807</t>
  </si>
  <si>
    <t>0.32807307079252623</t>
  </si>
  <si>
    <t>2.255677876414352</t>
  </si>
  <si>
    <t>0.026164171363016686</t>
  </si>
  <si>
    <t>0.37886045616561315</t>
  </si>
  <si>
    <t>0.027143406510954204</t>
  </si>
  <si>
    <t>0.4436588835395122</t>
  </si>
  <si>
    <t>0.1982307119202061</t>
  </si>
  <si>
    <t>2.238093579152853</t>
  </si>
  <si>
    <t>0.027325960790356357</t>
  </si>
  <si>
    <t>0.3953672708071364</t>
  </si>
  <si>
    <t>0.027455558117480072</t>
  </si>
  <si>
    <t>0.27777274735225577</t>
  </si>
  <si>
    <t>0.27286918018937695</t>
  </si>
  <si>
    <t>0.029225318163840917</t>
  </si>
  <si>
    <t>0.2780250257324015</t>
  </si>
  <si>
    <t>0.3276823690906962</t>
  </si>
  <si>
    <t>0.031877287164648535</t>
  </si>
  <si>
    <t>0.6239863740670119</t>
  </si>
  <si>
    <t>0.2905899631790792</t>
  </si>
  <si>
    <t>2.1473087619425915</t>
  </si>
  <si>
    <t>0.034069695375661214</t>
  </si>
  <si>
    <t>0.39140072929358827</t>
  </si>
  <si>
    <t>0.18254296934874936</t>
  </si>
  <si>
    <t>2.144156691928326</t>
  </si>
  <si>
    <t>0.5083553785293743</t>
  </si>
  <si>
    <t>0.2570715639610867</t>
  </si>
  <si>
    <t>0.3834905110196553</t>
  </si>
  <si>
    <t>0.1804652602016826</t>
  </si>
  <si>
    <t>2.1250101575842226</t>
  </si>
  <si>
    <t>0.5283300549793103</t>
  </si>
  <si>
    <t>0.40704881336303395</t>
  </si>
  <si>
    <t>0.036047482030795844</t>
  </si>
  <si>
    <t>0.2301513068776538</t>
  </si>
  <si>
    <t>0.30873466453775206</t>
  </si>
  <si>
    <t>0.039367042144279524</t>
  </si>
  <si>
    <t>0.2865625775519246</t>
  </si>
  <si>
    <t>isolation_cat_ordinal.L</t>
  </si>
  <si>
    <t>0.22798520837003433</t>
  </si>
  <si>
    <t>0.8624050847689758</t>
  </si>
  <si>
    <t>0.4193403924859043</t>
  </si>
  <si>
    <t>2.0565752792296648</t>
  </si>
  <si>
    <t>0.5148624489393108</t>
  </si>
  <si>
    <t>0.31834284493559484</t>
  </si>
  <si>
    <t>0.4165853082088563</t>
  </si>
  <si>
    <t>0.20745597104501884</t>
  </si>
  <si>
    <t>2.008066126563576</t>
  </si>
  <si>
    <t>0.21540315830841847</t>
  </si>
  <si>
    <t>0.6616451009463922</t>
  </si>
  <si>
    <t>0.33183518735711215</t>
  </si>
  <si>
    <t>1.9938967480092682</t>
  </si>
  <si>
    <t>0.3987268115629652</t>
  </si>
  <si>
    <t>0.049635795793707034</t>
  </si>
  <si>
    <t>Antiinflammatory</t>
  </si>
  <si>
    <t>.</t>
  </si>
  <si>
    <t>social_relationships_nominalVery good</t>
  </si>
  <si>
    <t>social_relationships_ordinal.Q</t>
  </si>
  <si>
    <t>social_activities_ordinal.Q</t>
  </si>
  <si>
    <t>race_fAsian</t>
  </si>
  <si>
    <t>social_activities_ordinal.C</t>
  </si>
  <si>
    <t>isolation_item_visit</t>
  </si>
  <si>
    <t>isolation_item_visit1</t>
  </si>
  <si>
    <t>isolation_item_communicate</t>
  </si>
  <si>
    <t>isolation_item_communicate0</t>
  </si>
  <si>
    <t>isolation_item_visit2</t>
  </si>
  <si>
    <t>isolation_item_visit4</t>
  </si>
  <si>
    <t>isolation_item_communicate_d</t>
  </si>
  <si>
    <t>isolation_item_communicate_dHigh</t>
  </si>
  <si>
    <t>isolation_item_visit3</t>
  </si>
  <si>
    <t>isolation_item_visit5</t>
  </si>
  <si>
    <t>isolation_item_visit_d</t>
  </si>
  <si>
    <t>isolation_item_visit_dHigh</t>
  </si>
  <si>
    <t>isolation_item_communicate5</t>
  </si>
  <si>
    <t>isolation_item_visit0</t>
  </si>
  <si>
    <t>isolation_item_communicate4</t>
  </si>
  <si>
    <t>isolation_item_communicate3</t>
  </si>
  <si>
    <t>isolation_item_communicate2</t>
  </si>
  <si>
    <t>isolation_item_communicate1</t>
  </si>
  <si>
    <t xml:space="preserve">social_relationships2_dLow  </t>
  </si>
  <si>
    <t>social_relationships2_d</t>
  </si>
  <si>
    <t>social_activities2_d</t>
  </si>
  <si>
    <t xml:space="preserve">social_activities2_dLow  </t>
  </si>
  <si>
    <t>isolation_cat2_d</t>
  </si>
  <si>
    <t xml:space="preserve">isolation_cat2_dHigh </t>
  </si>
  <si>
    <t>isolation_cat2_dHigh</t>
  </si>
  <si>
    <t xml:space="preserve">isolation_cat2_dHigh  </t>
  </si>
  <si>
    <t>social_relationships2_dHigh</t>
  </si>
  <si>
    <t>social_activities2_dHigh</t>
  </si>
  <si>
    <t>social_factor</t>
  </si>
  <si>
    <t xml:space="preserve">social_factor </t>
  </si>
  <si>
    <t>Lower_CI</t>
  </si>
  <si>
    <t>Upper_CI</t>
  </si>
  <si>
    <t xml:space="preserve">social_relationships2_dLow </t>
  </si>
  <si>
    <t xml:space="preserve">social_activities_dLow  </t>
  </si>
  <si>
    <t xml:space="preserve">social_activities_dLow </t>
  </si>
  <si>
    <t xml:space="preserve">isolation_cat_dHigh   </t>
  </si>
  <si>
    <t>***</t>
  </si>
  <si>
    <t xml:space="preserve">social_relationships_dLow   </t>
  </si>
  <si>
    <t xml:space="preserve">social_relationships_dLow  </t>
  </si>
  <si>
    <t xml:space="preserve">social_relationships_dLow </t>
  </si>
  <si>
    <t xml:space="preserve">social_activities2_dLow </t>
  </si>
  <si>
    <t>social_composite_sum</t>
  </si>
  <si>
    <t>social_factor_d</t>
  </si>
  <si>
    <t>social_factor_dPoor</t>
  </si>
  <si>
    <t>conf.low</t>
  </si>
  <si>
    <t>conf.high</t>
  </si>
  <si>
    <t>TGF_beta1</t>
  </si>
  <si>
    <t>VEGF</t>
  </si>
  <si>
    <t>IL_18</t>
  </si>
  <si>
    <t>VILIP_1</t>
  </si>
  <si>
    <t>outcome_PC2</t>
  </si>
  <si>
    <t>social_relationships2_dLow</t>
  </si>
  <si>
    <t>social_activities2_dLow</t>
  </si>
  <si>
    <t>Numeric</t>
  </si>
  <si>
    <t>social_function_num</t>
  </si>
  <si>
    <t>social_function_d</t>
  </si>
  <si>
    <t>social_health_num</t>
  </si>
  <si>
    <t>social_health_d</t>
  </si>
  <si>
    <t xml:space="preserve">social_health_dPoor  </t>
  </si>
  <si>
    <t>social_health</t>
  </si>
  <si>
    <t xml:space="preserve">social_function_sum </t>
  </si>
  <si>
    <t xml:space="preserve">social_function_dPoor  </t>
  </si>
  <si>
    <t xml:space="preserve">social_function_dPoor </t>
  </si>
  <si>
    <t xml:space="preserve">social_function_num </t>
  </si>
  <si>
    <t xml:space="preserve">social_function_dLow  </t>
  </si>
  <si>
    <t xml:space="preserve">social_function_dLow </t>
  </si>
  <si>
    <t xml:space="preserve">social_health_dPoor </t>
  </si>
  <si>
    <t>social_function_dPoor</t>
  </si>
  <si>
    <t>social_health_dPoor</t>
  </si>
  <si>
    <t>isolation_score</t>
  </si>
  <si>
    <t xml:space="preserve">isolation_score </t>
  </si>
  <si>
    <t>social_function2_d</t>
  </si>
  <si>
    <t xml:space="preserve">social_function2_dPoor </t>
  </si>
  <si>
    <t>social_function2_dPoor</t>
  </si>
  <si>
    <t>social_health2_d</t>
  </si>
  <si>
    <t xml:space="preserve">social_health2_dPoor  </t>
  </si>
  <si>
    <t xml:space="preserve">social_health2_dPoor </t>
  </si>
  <si>
    <t xml:space="preserve">social_function2_dLow  </t>
  </si>
  <si>
    <t>social_function2_dLow</t>
  </si>
  <si>
    <t xml:space="preserve">social_function2_dLow </t>
  </si>
  <si>
    <t>social_health2_dPoor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</si>
</sst>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8BD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FF2F92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437FF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C60A3"/>
        <bgColor indexed="64"/>
      </patternFill>
    </fill>
    <fill>
      <patternFill patternType="solid">
        <fgColor rgb="FFFFFF00"/>
        <bgColor theme="1"/>
      </patternFill>
    </fill>
    <fill>
      <patternFill patternType="solid">
        <fgColor rgb="FFFFF8BD"/>
        <bgColor theme="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2FED6"/>
        <bgColor indexed="64"/>
      </patternFill>
    </fill>
    <fill>
      <patternFill patternType="solid">
        <fgColor rgb="FF81FF00"/>
        <bgColor indexed="64"/>
      </patternFill>
    </fill>
    <fill>
      <patternFill patternType="solid">
        <fgColor rgb="FFFF5CB0"/>
        <bgColor indexed="64"/>
      </patternFill>
    </fill>
    <fill>
      <patternFill patternType="solid">
        <fgColor rgb="FFFF94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3FFFF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2F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9" borderId="0" xfId="0" applyFill="1"/>
    <xf numFmtId="0" fontId="0" fillId="50" borderId="0" xfId="0" applyFill="1"/>
    <xf numFmtId="0" fontId="0" fillId="0" borderId="10" xfId="0" applyBorder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0" borderId="11" xfId="0" applyBorder="1"/>
    <xf numFmtId="0" fontId="0" fillId="53" borderId="10" xfId="0" applyFill="1" applyBorder="1"/>
    <xf numFmtId="0" fontId="19" fillId="0" borderId="0" xfId="0" applyFont="1"/>
    <xf numFmtId="0" fontId="20" fillId="0" borderId="0" xfId="0" applyFont="1"/>
    <xf numFmtId="0" fontId="21" fillId="53" borderId="10" xfId="0" applyFont="1" applyFill="1" applyBorder="1"/>
    <xf numFmtId="0" fontId="22" fillId="58" borderId="10" xfId="0" applyFont="1" applyFill="1" applyBorder="1"/>
    <xf numFmtId="0" fontId="0" fillId="57" borderId="10" xfId="0" applyFill="1" applyBorder="1"/>
    <xf numFmtId="0" fontId="21" fillId="33" borderId="10" xfId="0" applyFont="1" applyFill="1" applyBorder="1"/>
    <xf numFmtId="0" fontId="0" fillId="33" borderId="10" xfId="0" applyFill="1" applyBorder="1"/>
    <xf numFmtId="0" fontId="13" fillId="56" borderId="0" xfId="0" applyFont="1" applyFill="1"/>
    <xf numFmtId="0" fontId="13" fillId="56" borderId="12" xfId="0" applyFont="1" applyFill="1" applyBorder="1"/>
    <xf numFmtId="0" fontId="17" fillId="48" borderId="0" xfId="0" applyFont="1" applyFill="1"/>
    <xf numFmtId="0" fontId="17" fillId="55" borderId="0" xfId="0" applyFont="1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21" fillId="52" borderId="0" xfId="0" applyFont="1" applyFill="1"/>
    <xf numFmtId="0" fontId="21" fillId="0" borderId="0" xfId="0" applyFont="1"/>
    <xf numFmtId="0" fontId="21" fillId="43" borderId="0" xfId="0" applyFont="1" applyFill="1"/>
    <xf numFmtId="0" fontId="23" fillId="60" borderId="10" xfId="0" applyFont="1" applyFill="1" applyBorder="1"/>
    <xf numFmtId="0" fontId="23" fillId="62" borderId="10" xfId="0" applyFont="1" applyFill="1" applyBorder="1"/>
    <xf numFmtId="0" fontId="16" fillId="59" borderId="10" xfId="0" applyFont="1" applyFill="1" applyBorder="1"/>
    <xf numFmtId="0" fontId="23" fillId="59" borderId="10" xfId="0" applyFont="1" applyFill="1" applyBorder="1"/>
    <xf numFmtId="0" fontId="21" fillId="53" borderId="0" xfId="0" applyFont="1" applyFill="1"/>
    <xf numFmtId="0" fontId="21" fillId="52" borderId="10" xfId="0" applyFont="1" applyFill="1" applyBorder="1"/>
    <xf numFmtId="0" fontId="21" fillId="57" borderId="0" xfId="0" applyFont="1" applyFill="1"/>
    <xf numFmtId="0" fontId="21" fillId="62" borderId="0" xfId="0" applyFont="1" applyFill="1"/>
    <xf numFmtId="0" fontId="0" fillId="0" borderId="0" xfId="0" quotePrefix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40" borderId="0" xfId="0" quotePrefix="1" applyFill="1"/>
    <xf numFmtId="0" fontId="0" fillId="68" borderId="0" xfId="0" applyFill="1"/>
    <xf numFmtId="0" fontId="0" fillId="69" borderId="0" xfId="0" applyFill="1"/>
    <xf numFmtId="0" fontId="24" fillId="70" borderId="0" xfId="0" applyFont="1" applyFill="1"/>
    <xf numFmtId="0" fontId="25" fillId="70" borderId="0" xfId="0" applyFont="1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21" fillId="33" borderId="0" xfId="0" applyFont="1" applyFill="1"/>
    <xf numFmtId="0" fontId="17" fillId="75" borderId="0" xfId="0" applyFont="1" applyFill="1"/>
    <xf numFmtId="0" fontId="17" fillId="76" borderId="0" xfId="0" applyFont="1" applyFill="1"/>
    <xf numFmtId="0" fontId="22" fillId="0" borderId="0" xfId="0" applyFont="1"/>
    <xf numFmtId="0" fontId="17" fillId="77" borderId="0" xfId="0" applyFont="1" applyFill="1"/>
    <xf numFmtId="0" fontId="17" fillId="77" borderId="10" xfId="0" applyFont="1" applyFill="1" applyBorder="1"/>
    <xf numFmtId="0" fontId="24" fillId="77" borderId="0" xfId="0" applyFont="1" applyFill="1"/>
    <xf numFmtId="0" fontId="21" fillId="60" borderId="0" xfId="0" applyFont="1" applyFill="1"/>
    <xf numFmtId="0" fontId="23" fillId="60" borderId="0" xfId="0" applyFont="1" applyFill="1"/>
    <xf numFmtId="0" fontId="23" fillId="53" borderId="0" xfId="0" applyFont="1" applyFill="1"/>
    <xf numFmtId="0" fontId="23" fillId="0" borderId="10" xfId="0" applyFont="1" applyBorder="1"/>
    <xf numFmtId="0" fontId="23" fillId="0" borderId="0" xfId="0" applyFont="1"/>
    <xf numFmtId="0" fontId="21" fillId="0" borderId="10" xfId="0" applyFont="1" applyBorder="1"/>
    <xf numFmtId="0" fontId="21" fillId="0" borderId="11" xfId="0" applyFont="1" applyBorder="1"/>
    <xf numFmtId="0" fontId="17" fillId="78" borderId="0" xfId="0" applyFont="1" applyFill="1"/>
    <xf numFmtId="0" fontId="19" fillId="52" borderId="0" xfId="0" applyFont="1" applyFill="1"/>
    <xf numFmtId="0" fontId="17" fillId="80" borderId="0" xfId="0" applyFont="1" applyFill="1"/>
    <xf numFmtId="0" fontId="17" fillId="79" borderId="0" xfId="0" applyFont="1" applyFill="1"/>
    <xf numFmtId="0" fontId="24" fillId="75" borderId="0" xfId="0" applyFont="1" applyFill="1"/>
    <xf numFmtId="0" fontId="21" fillId="54" borderId="0" xfId="0" applyFont="1" applyFill="1"/>
    <xf numFmtId="0" fontId="25" fillId="75" borderId="0" xfId="0" applyFont="1" applyFill="1"/>
    <xf numFmtId="0" fontId="23" fillId="54" borderId="0" xfId="0" applyFont="1" applyFill="1"/>
    <xf numFmtId="0" fontId="21" fillId="34" borderId="0" xfId="0" applyFont="1" applyFill="1"/>
    <xf numFmtId="0" fontId="24" fillId="79" borderId="0" xfId="0" applyFont="1" applyFill="1"/>
    <xf numFmtId="0" fontId="20" fillId="0" borderId="12" xfId="0" applyFont="1" applyBorder="1"/>
    <xf numFmtId="0" fontId="22" fillId="0" borderId="12" xfId="0" applyFont="1" applyBorder="1"/>
    <xf numFmtId="0" fontId="20" fillId="0" borderId="10" xfId="0" applyFont="1" applyBorder="1"/>
    <xf numFmtId="0" fontId="22" fillId="43" borderId="0" xfId="0" applyFont="1" applyFill="1"/>
    <xf numFmtId="0" fontId="20" fillId="43" borderId="10" xfId="0" applyFont="1" applyFill="1" applyBorder="1"/>
    <xf numFmtId="0" fontId="20" fillId="43" borderId="11" xfId="0" applyFont="1" applyFill="1" applyBorder="1"/>
    <xf numFmtId="0" fontId="20" fillId="0" borderId="11" xfId="0" applyFont="1" applyBorder="1"/>
    <xf numFmtId="0" fontId="22" fillId="52" borderId="0" xfId="0" applyFont="1" applyFill="1"/>
    <xf numFmtId="0" fontId="23" fillId="52" borderId="10" xfId="0" applyFont="1" applyFill="1" applyBorder="1"/>
    <xf numFmtId="0" fontId="20" fillId="52" borderId="0" xfId="0" applyFont="1" applyFill="1"/>
    <xf numFmtId="0" fontId="22" fillId="81" borderId="10" xfId="0" applyFont="1" applyFill="1" applyBorder="1"/>
    <xf numFmtId="0" fontId="23" fillId="34" borderId="0" xfId="0" applyFont="1" applyFill="1"/>
    <xf numFmtId="0" fontId="19" fillId="0" borderId="10" xfId="0" applyFont="1" applyBorder="1"/>
    <xf numFmtId="0" fontId="20" fillId="43" borderId="0" xfId="0" applyFont="1" applyFill="1"/>
    <xf numFmtId="0" fontId="22" fillId="82" borderId="10" xfId="0" applyFont="1" applyFill="1" applyBorder="1"/>
    <xf numFmtId="0" fontId="19" fillId="52" borderId="10" xfId="0" applyFont="1" applyFill="1" applyBorder="1"/>
    <xf numFmtId="0" fontId="20" fillId="52" borderId="10" xfId="0" applyFont="1" applyFill="1" applyBorder="1"/>
    <xf numFmtId="0" fontId="19" fillId="52" borderId="11" xfId="0" applyFont="1" applyFill="1" applyBorder="1"/>
    <xf numFmtId="0" fontId="20" fillId="42" borderId="10" xfId="0" applyFont="1" applyFill="1" applyBorder="1"/>
    <xf numFmtId="0" fontId="23" fillId="43" borderId="10" xfId="0" applyFont="1" applyFill="1" applyBorder="1"/>
    <xf numFmtId="0" fontId="21" fillId="35" borderId="0" xfId="0" applyFont="1" applyFill="1"/>
    <xf numFmtId="0" fontId="23" fillId="35" borderId="0" xfId="0" applyFont="1" applyFill="1"/>
    <xf numFmtId="0" fontId="24" fillId="76" borderId="0" xfId="0" applyFont="1" applyFill="1"/>
    <xf numFmtId="0" fontId="17" fillId="83" borderId="0" xfId="0" applyFont="1" applyFill="1"/>
    <xf numFmtId="11" fontId="0" fillId="52" borderId="0" xfId="0" applyNumberFormat="1" applyFill="1"/>
    <xf numFmtId="0" fontId="16" fillId="0" borderId="0" xfId="0" applyFont="1"/>
    <xf numFmtId="11" fontId="21" fillId="52" borderId="0" xfId="0" applyNumberFormat="1" applyFont="1" applyFill="1"/>
    <xf numFmtId="0" fontId="24" fillId="83" borderId="0" xfId="0" applyFont="1" applyFill="1"/>
    <xf numFmtId="0" fontId="21" fillId="47" borderId="0" xfId="0" applyFont="1" applyFill="1"/>
    <xf numFmtId="0" fontId="21" fillId="44" borderId="0" xfId="0" applyFont="1" applyFill="1"/>
    <xf numFmtId="0" fontId="24" fillId="48" borderId="0" xfId="0" applyFont="1" applyFill="1"/>
    <xf numFmtId="0" fontId="25" fillId="48" borderId="0" xfId="0" applyFont="1" applyFill="1"/>
    <xf numFmtId="0" fontId="21" fillId="84" borderId="0" xfId="0" applyFont="1" applyFill="1"/>
    <xf numFmtId="0" fontId="0" fillId="84" borderId="0" xfId="0" applyFill="1"/>
    <xf numFmtId="0" fontId="21" fillId="41" borderId="0" xfId="0" applyFont="1" applyFill="1"/>
    <xf numFmtId="0" fontId="21" fillId="45" borderId="0" xfId="0" applyFont="1" applyFill="1"/>
    <xf numFmtId="0" fontId="21" fillId="46" borderId="0" xfId="0" applyFont="1" applyFill="1"/>
    <xf numFmtId="0" fontId="0" fillId="85" borderId="0" xfId="0" applyFill="1"/>
    <xf numFmtId="0" fontId="21" fillId="85" borderId="0" xfId="0" applyFont="1" applyFill="1"/>
    <xf numFmtId="0" fontId="21" fillId="64" borderId="0" xfId="0" applyFont="1" applyFill="1"/>
    <xf numFmtId="0" fontId="21" fillId="37" borderId="0" xfId="0" applyFont="1" applyFill="1"/>
    <xf numFmtId="0" fontId="17" fillId="75" borderId="10" xfId="0" applyFont="1" applyFill="1" applyBorder="1"/>
    <xf numFmtId="0" fontId="17" fillId="76" borderId="10" xfId="0" applyFont="1" applyFill="1" applyBorder="1"/>
    <xf numFmtId="0" fontId="17" fillId="79" borderId="10" xfId="0" applyFont="1" applyFill="1" applyBorder="1"/>
    <xf numFmtId="0" fontId="17" fillId="83" borderId="10" xfId="0" applyFont="1" applyFill="1" applyBorder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21" fillId="72" borderId="0" xfId="0" applyFont="1" applyFill="1"/>
    <xf numFmtId="0" fontId="21" fillId="86" borderId="0" xfId="0" applyFont="1" applyFill="1"/>
    <xf numFmtId="0" fontId="21" fillId="87" borderId="0" xfId="0" applyFont="1" applyFill="1"/>
    <xf numFmtId="0" fontId="21" fillId="88" borderId="0" xfId="0" applyFont="1" applyFill="1"/>
    <xf numFmtId="0" fontId="21" fillId="89" borderId="0" xfId="0" applyFont="1" applyFill="1"/>
    <xf numFmtId="0" fontId="25" fillId="79" borderId="0" xfId="0" applyFont="1" applyFill="1"/>
    <xf numFmtId="0" fontId="25" fillId="83" borderId="0" xfId="0" applyFont="1" applyFill="1"/>
    <xf numFmtId="0" fontId="23" fillId="72" borderId="0" xfId="0" applyFont="1" applyFill="1"/>
    <xf numFmtId="0" fontId="23" fillId="86" borderId="0" xfId="0" applyFont="1" applyFill="1"/>
    <xf numFmtId="0" fontId="23" fillId="87" borderId="0" xfId="0" applyFont="1" applyFill="1"/>
    <xf numFmtId="0" fontId="23" fillId="88" borderId="0" xfId="0" applyFont="1" applyFill="1"/>
    <xf numFmtId="0" fontId="23" fillId="43" borderId="0" xfId="0" applyFont="1" applyFill="1"/>
    <xf numFmtId="0" fontId="23" fillId="64" borderId="0" xfId="0" applyFont="1" applyFill="1"/>
    <xf numFmtId="0" fontId="23" fillId="85" borderId="0" xfId="0" applyFont="1" applyFill="1"/>
    <xf numFmtId="0" fontId="23" fillId="41" borderId="0" xfId="0" applyFont="1" applyFill="1"/>
    <xf numFmtId="0" fontId="23" fillId="52" borderId="0" xfId="0" applyFont="1" applyFill="1"/>
    <xf numFmtId="0" fontId="23" fillId="89" borderId="0" xfId="0" applyFont="1" applyFill="1"/>
    <xf numFmtId="0" fontId="23" fillId="47" borderId="0" xfId="0" applyFont="1" applyFill="1"/>
    <xf numFmtId="0" fontId="25" fillId="76" borderId="0" xfId="0" applyFont="1" applyFill="1"/>
    <xf numFmtId="0" fontId="23" fillId="33" borderId="0" xfId="0" applyFont="1" applyFill="1"/>
    <xf numFmtId="0" fontId="23" fillId="42" borderId="0" xfId="0" applyFont="1" applyFill="1"/>
    <xf numFmtId="0" fontId="0" fillId="0" borderId="0" xfId="0" applyAlignment="1">
      <alignment horizontal="right"/>
    </xf>
    <xf numFmtId="0" fontId="0" fillId="43" borderId="0" xfId="0" applyFill="1" applyAlignment="1">
      <alignment horizontal="right"/>
    </xf>
    <xf numFmtId="0" fontId="0" fillId="52" borderId="0" xfId="0" applyFill="1" applyAlignment="1">
      <alignment horizontal="right"/>
    </xf>
    <xf numFmtId="0" fontId="0" fillId="42" borderId="0" xfId="0" applyFill="1" applyAlignment="1">
      <alignment horizontal="right"/>
    </xf>
    <xf numFmtId="0" fontId="13" fillId="79" borderId="0" xfId="0" applyFont="1" applyFill="1"/>
    <xf numFmtId="0" fontId="0" fillId="43" borderId="10" xfId="0" applyFill="1" applyBorder="1"/>
    <xf numFmtId="0" fontId="0" fillId="43" borderId="11" xfId="0" applyFill="1" applyBorder="1"/>
    <xf numFmtId="0" fontId="0" fillId="52" borderId="10" xfId="0" applyFill="1" applyBorder="1"/>
    <xf numFmtId="0" fontId="24" fillId="78" borderId="0" xfId="0" applyFont="1" applyFill="1"/>
    <xf numFmtId="0" fontId="21" fillId="90" borderId="0" xfId="0" applyFont="1" applyFill="1"/>
    <xf numFmtId="0" fontId="24" fillId="80" borderId="0" xfId="0" applyFont="1" applyFill="1"/>
    <xf numFmtId="0" fontId="0" fillId="52" borderId="11" xfId="0" applyFill="1" applyBorder="1"/>
    <xf numFmtId="0" fontId="13" fillId="83" borderId="0" xfId="0" applyFont="1" applyFill="1"/>
    <xf numFmtId="0" fontId="25" fillId="78" borderId="0" xfId="0" applyFont="1" applyFill="1"/>
    <xf numFmtId="0" fontId="23" fillId="90" borderId="0" xfId="0" applyFont="1" applyFill="1"/>
    <xf numFmtId="0" fontId="25" fillId="80" borderId="0" xfId="0" applyFont="1" applyFill="1"/>
    <xf numFmtId="0" fontId="23" fillId="33" borderId="10" xfId="0" applyFont="1" applyFill="1" applyBorder="1"/>
    <xf numFmtId="0" fontId="23" fillId="53" borderId="10" xfId="0" applyFont="1" applyFill="1" applyBorder="1"/>
    <xf numFmtId="0" fontId="21" fillId="60" borderId="10" xfId="0" applyFont="1" applyFill="1" applyBorder="1"/>
    <xf numFmtId="0" fontId="22" fillId="0" borderId="10" xfId="0" applyFont="1" applyBorder="1"/>
    <xf numFmtId="0" fontId="22" fillId="43" borderId="10" xfId="0" applyFont="1" applyFill="1" applyBorder="1"/>
    <xf numFmtId="0" fontId="20" fillId="52" borderId="12" xfId="0" applyFont="1" applyFill="1" applyBorder="1"/>
    <xf numFmtId="0" fontId="23" fillId="0" borderId="11" xfId="0" applyFont="1" applyBorder="1"/>
    <xf numFmtId="0" fontId="23" fillId="52" borderId="12" xfId="0" applyFont="1" applyFill="1" applyBorder="1"/>
    <xf numFmtId="0" fontId="23" fillId="43" borderId="12" xfId="0" applyFont="1" applyFill="1" applyBorder="1"/>
    <xf numFmtId="0" fontId="20" fillId="52" borderId="11" xfId="0" applyFont="1" applyFill="1" applyBorder="1"/>
    <xf numFmtId="0" fontId="23" fillId="52" borderId="11" xfId="0" applyFont="1" applyFill="1" applyBorder="1"/>
    <xf numFmtId="0" fontId="23" fillId="42" borderId="10" xfId="0" applyFont="1" applyFill="1" applyBorder="1"/>
    <xf numFmtId="0" fontId="20" fillId="42" borderId="11" xfId="0" applyFont="1" applyFill="1" applyBorder="1"/>
    <xf numFmtId="0" fontId="17" fillId="91" borderId="0" xfId="0" applyFont="1" applyFill="1"/>
    <xf numFmtId="0" fontId="16" fillId="43" borderId="0" xfId="0" applyFont="1" applyFill="1"/>
    <xf numFmtId="0" fontId="24" fillId="91" borderId="0" xfId="0" applyFont="1" applyFill="1"/>
    <xf numFmtId="0" fontId="17" fillId="78" borderId="10" xfId="0" applyFont="1" applyFill="1" applyBorder="1"/>
    <xf numFmtId="0" fontId="24" fillId="78" borderId="10" xfId="0" applyFont="1" applyFill="1" applyBorder="1"/>
    <xf numFmtId="0" fontId="0" fillId="92" borderId="0" xfId="0" applyFill="1"/>
    <xf numFmtId="0" fontId="25" fillId="77" borderId="0" xfId="0" applyFont="1" applyFill="1"/>
    <xf numFmtId="0" fontId="17" fillId="51" borderId="0" xfId="0" applyFont="1" applyFill="1"/>
    <xf numFmtId="0" fontId="17" fillId="89" borderId="0" xfId="0" applyFont="1" applyFill="1"/>
    <xf numFmtId="0" fontId="24" fillId="51" borderId="0" xfId="0" applyFont="1" applyFill="1"/>
    <xf numFmtId="0" fontId="13" fillId="89" borderId="0" xfId="0" applyFont="1" applyFill="1"/>
    <xf numFmtId="0" fontId="24" fillId="89" borderId="0" xfId="0" applyFont="1" applyFill="1"/>
    <xf numFmtId="0" fontId="21" fillId="42" borderId="0" xfId="0" applyFont="1" applyFill="1"/>
    <xf numFmtId="0" fontId="21" fillId="51" borderId="0" xfId="0" applyFont="1" applyFill="1"/>
    <xf numFmtId="0" fontId="17" fillId="0" borderId="0" xfId="0" applyFont="1"/>
    <xf numFmtId="0" fontId="17" fillId="51" borderId="10" xfId="0" applyFont="1" applyFill="1" applyBorder="1"/>
    <xf numFmtId="0" fontId="24" fillId="51" borderId="10" xfId="0" applyFont="1" applyFill="1" applyBorder="1"/>
    <xf numFmtId="0" fontId="25" fillId="51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7E79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72FED6"/>
      <color rgb="FFFFF8BD"/>
      <color rgb="FFFF2F93"/>
      <color rgb="FFD883FF"/>
      <color rgb="FF73FFFF"/>
      <color rgb="FFFF85FF"/>
      <color rgb="FFFF9400"/>
      <color rgb="FFFF5CB0"/>
      <color rgb="FF81FF00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7273B-B344-1844-A965-E3AB65A34A45}" name="Table13" displayName="Table13" ref="A1:K73" totalsRowShown="0">
  <autoFilter ref="A1:K73" xr:uid="{1257273B-B344-1844-A965-E3AB65A34A45}">
    <filterColumn colId="0">
      <filters>
        <filter val="isolation_cat_d"/>
        <filter val="social_activities2_d"/>
        <filter val="social_health2_d"/>
        <filter val="social_relationships2_d"/>
      </filters>
    </filterColumn>
  </autoFilter>
  <tableColumns count="11">
    <tableColumn id="1" xr3:uid="{8CC9013D-6E9F-6849-BCF3-E2CC8C32370E}" name="Exposure"/>
    <tableColumn id="9" xr3:uid="{94EE629E-6B53-FF41-B7F1-457EAF484811}" name="Exposure Type"/>
    <tableColumn id="2" xr3:uid="{4783E98E-DC67-F944-9A07-9A2C2947B397}" name="Outcome"/>
    <tableColumn id="3" xr3:uid="{975C3E3B-B69F-164A-B8F0-3E7F6C039E45}" name="Term"/>
    <tableColumn id="4" xr3:uid="{18B89DF8-5CC8-894D-90A6-7D4178082949}" name="Estimate"/>
    <tableColumn id="5" xr3:uid="{39A2CFFF-D23E-5348-9A24-B149502660D3}" name="Std.Error"/>
    <tableColumn id="6" xr3:uid="{737151CE-F478-E84C-8305-066C4FF6B2B9}" name="Statistic"/>
    <tableColumn id="11" xr3:uid="{08ECF178-1EF8-9D4B-8C43-21277EE4A470}" name="Lower_CI"/>
    <tableColumn id="10" xr3:uid="{19565579-329D-7F4F-9DA8-E3FF75C41CA3}" name="Upper_CI"/>
    <tableColumn id="7" xr3:uid="{394B90C3-9CDF-6D4A-B04F-420F623DD05C}" name="p.value"/>
    <tableColumn id="8" xr3:uid="{71CB14DC-6FFA-CA40-90C8-94203CE270C1}" name="Significa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1488F-D364-A242-9A13-B004FA914959}" name="Table3" displayName="Table3" ref="A1:L97" totalsRowShown="0" headerRowDxfId="15" dataDxfId="14" tableBorderDxfId="13">
  <autoFilter ref="A1:L97" xr:uid="{7EC1488F-D364-A242-9A13-B004FA914959}">
    <filterColumn colId="0">
      <filters>
        <filter val="isolation_cat_d"/>
        <filter val="social_activities2_d"/>
        <filter val="social_health2_d"/>
        <filter val="social_relationships2_d"/>
      </filters>
    </filterColumn>
  </autoFilter>
  <tableColumns count="12">
    <tableColumn id="1" xr3:uid="{F87E70E9-3F56-1545-9D9F-5BB4163CDA5E}" name="Exposure"/>
    <tableColumn id="10" xr3:uid="{51E61D4B-D54F-3641-B526-A5F7D2EC4D96}" name="Exposure Type"/>
    <tableColumn id="2" xr3:uid="{A0F2F4DE-E38F-AE49-92C1-73F75DF83D15}" name="Outcome" dataDxfId="12"/>
    <tableColumn id="3" xr3:uid="{7519E5BB-E8C3-9F49-8D90-62D98001F2B1}" name="Race" dataDxfId="11"/>
    <tableColumn id="4" xr3:uid="{9A965092-7981-8442-B459-EB1A93422586}" name="Term" dataDxfId="10"/>
    <tableColumn id="5" xr3:uid="{1A9E23A2-D74F-F84E-9430-5A2542ADAAA0}" name="Estimate" dataDxfId="9"/>
    <tableColumn id="6" xr3:uid="{C65209D6-E68A-394B-9C0F-4FCEB3ADA021}" name="Std.Error" dataDxfId="8"/>
    <tableColumn id="7" xr3:uid="{539E1081-1628-B742-8331-77844C7A3B2B}" name="Statistic" dataDxfId="7"/>
    <tableColumn id="12" xr3:uid="{C658556E-B6E6-3247-9CC6-C3AFD7BBE462}" name="Lower_CI" dataDxfId="6"/>
    <tableColumn id="11" xr3:uid="{7A262446-A205-994E-99BD-370829F3B668}" name="Upper_CI" dataDxfId="5"/>
    <tableColumn id="8" xr3:uid="{AF87552F-56D5-3C4A-B5F3-F3373E672BDC}" name="p.value" dataDxfId="4"/>
    <tableColumn id="9" xr3:uid="{9B9E9E94-66CE-5D40-BE03-2CB24023A3D4}" name="Significant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CB4FED-91C2-4640-87EC-9BAD55966EE9}" name="Table5" displayName="Table5" ref="A1:K110" totalsRowShown="0">
  <autoFilter ref="A1:K110" xr:uid="{11CB4FED-91C2-4640-87EC-9BAD55966EE9}">
    <filterColumn colId="0">
      <filters>
        <filter val="isolation_cat_d"/>
        <filter val="social_activities2_d"/>
        <filter val="social_health2_d"/>
        <filter val="social_relationships2_d"/>
      </filters>
    </filterColumn>
  </autoFilter>
  <sortState xmlns:xlrd2="http://schemas.microsoft.com/office/spreadsheetml/2017/richdata2" ref="A2:K103">
    <sortCondition ref="A1:A103"/>
  </sortState>
  <tableColumns count="11">
    <tableColumn id="1" xr3:uid="{5BEF25A8-A947-CB4E-B714-F366A22D71DF}" name="exposure"/>
    <tableColumn id="2" xr3:uid="{B1634E98-91EB-8041-ACF9-F59D1D8DBDCA}" name="outcome"/>
    <tableColumn id="3" xr3:uid="{EA24BC0F-9E5F-894A-99E4-823A9AA73D55}" name="term"/>
    <tableColumn id="4" xr3:uid="{F9226542-1C69-1F4F-AAAF-6CF17C42DE57}" name="estimate"/>
    <tableColumn id="5" xr3:uid="{BFB43740-578C-CD49-AC54-27CF404856F8}" name="std.error"/>
    <tableColumn id="6" xr3:uid="{92D74BFA-5795-A147-84F4-80ECA7D94C2C}" name="statistic"/>
    <tableColumn id="7" xr3:uid="{518EA7A5-DF60-F542-AC37-842E418854D1}" name="p.value"/>
    <tableColumn id="11" xr3:uid="{7159DC90-952D-CE4D-8437-599D7AF81A00}" name="Lower_CI"/>
    <tableColumn id="10" xr3:uid="{8D587266-1A2E-DB47-BB0F-55FB9126FD87}" name="Upper_CI"/>
    <tableColumn id="8" xr3:uid="{657396CA-80BB-B248-B3B7-796B5E4B6A7F}" name="PC"/>
    <tableColumn id="9" xr3:uid="{DF68D1FF-27BD-8D43-8163-42B58FDCB5EA}" name="Descripti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6A4BAA-29C9-8349-BE75-37D9F85A84CE}" name="Table11" displayName="Table11" ref="A1:J531" totalsRowShown="0">
  <autoFilter ref="A1:J531" xr:uid="{BE6A4BAA-29C9-8349-BE75-37D9F85A84CE}">
    <filterColumn colId="0">
      <filters>
        <filter val="isolation_cat_d"/>
        <filter val="social_activities2_d"/>
        <filter val="social_health2_d"/>
        <filter val="social_relationships2_d"/>
      </filters>
    </filterColumn>
  </autoFilter>
  <tableColumns count="10">
    <tableColumn id="1" xr3:uid="{499D05C5-EA85-DF4C-AE3B-B0C055CD8C9E}" name="exposure"/>
    <tableColumn id="2" xr3:uid="{5E4C8E56-02AD-5443-8D2E-92D0CAD5E9C6}" name="outcome"/>
    <tableColumn id="3" xr3:uid="{E0852779-5E9F-CA46-8E39-93F65E57FEE6}" name="term"/>
    <tableColumn id="4" xr3:uid="{9E033B73-A008-4B4A-8688-6D4B0D99D039}" name="estimate"/>
    <tableColumn id="5" xr3:uid="{DFFBAE93-8630-D64F-9EDD-51A7CA1083DE}" name="std.error"/>
    <tableColumn id="6" xr3:uid="{110FA77A-49AB-A543-8C10-DA63830FC44F}" name="statistic"/>
    <tableColumn id="7" xr3:uid="{26309DD8-BD8F-DB41-8BA5-DA088AC9EAE7}" name="conf.low"/>
    <tableColumn id="8" xr3:uid="{30173A8D-9835-2C49-BB82-2CBF05014718}" name="conf.high"/>
    <tableColumn id="9" xr3:uid="{E5485339-28AF-C545-B6A7-6500FD781B09}" name="p.value"/>
    <tableColumn id="10" xr3:uid="{5142E6DE-6580-E64C-BB7F-5D709C965196}" name="Significanc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90FBF2-D101-1A4E-9A61-A3A0070FB135}" name="Table12" displayName="Table12" ref="A1:K981" totalsRowShown="0">
  <autoFilter ref="A1:K981" xr:uid="{AD90FBF2-D101-1A4E-9A61-A3A0070FB135}">
    <filterColumn colId="0">
      <filters>
        <filter val="isolation_cat_d"/>
        <filter val="social_activities2_d"/>
        <filter val="social_health2_d"/>
        <filter val="social_relationships2_d"/>
      </filters>
    </filterColumn>
  </autoFilter>
  <tableColumns count="11">
    <tableColumn id="1" xr3:uid="{37664ED5-CACE-3E46-8749-C4FFCA4124F0}" name="exposure"/>
    <tableColumn id="2" xr3:uid="{C1F0C4A4-5E9D-0546-8309-E7DB7697D709}" name="outcome"/>
    <tableColumn id="3" xr3:uid="{943BD840-7978-394F-AA2A-8E02BE3C513F}" name="Race"/>
    <tableColumn id="11" xr3:uid="{90E5CAA3-0184-D046-8D86-28111632FB87}" name="term"/>
    <tableColumn id="4" xr3:uid="{8A67ECCE-6D4B-A44F-9D49-8B771173BE26}" name="estimate"/>
    <tableColumn id="5" xr3:uid="{CF80E9FC-1333-8C44-B604-C404F4340369}" name="std.error"/>
    <tableColumn id="6" xr3:uid="{0B346027-0580-154A-96AF-1B294457F32E}" name="statistic"/>
    <tableColumn id="7" xr3:uid="{1245F475-6B21-9144-BACD-3F63065188F3}" name="conf.low"/>
    <tableColumn id="8" xr3:uid="{36850D14-FFDB-4D40-A82A-ED01A14385B3}" name="conf.high"/>
    <tableColumn id="9" xr3:uid="{314009AB-4720-8043-9342-266829AC3CAE}" name="p.value"/>
    <tableColumn id="10" xr3:uid="{CD1EFE06-CA4B-5B4B-B7A6-52497404836F}" name="Significance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24F0D-E457-024B-B03A-094478AAE294}" name="Table1" displayName="Table1" ref="A1:J101" totalsRowShown="0" headerRowDxfId="2" tableBorderDxfId="1">
  <autoFilter ref="A1:J101" xr:uid="{EA224F0D-E457-024B-B03A-094478AAE294}">
    <filterColumn colId="0">
      <filters>
        <filter val="isolation_cat_d"/>
        <filter val="social_activities2_d"/>
        <filter val="social_health2_d"/>
        <filter val="social_relationships2_d"/>
      </filters>
    </filterColumn>
    <filterColumn colId="1">
      <filters>
        <filter val="IL_18"/>
        <filter val="IL_6"/>
        <filter val="TGF_beta1"/>
        <filter val="VEGF"/>
        <filter val="VILIP_1"/>
      </filters>
    </filterColumn>
  </autoFilter>
  <tableColumns count="10">
    <tableColumn id="1" xr3:uid="{8F78C915-D151-134A-9851-1066B221A0BC}" name="exposure" dataDxfId="0"/>
    <tableColumn id="2" xr3:uid="{D7EACAFC-4A3C-2F4A-A9CA-62C95C63F464}" name="outcome"/>
    <tableColumn id="3" xr3:uid="{C53746E1-3A36-DA45-8671-EF0E62BF570C}" name="term"/>
    <tableColumn id="4" xr3:uid="{EEEDDC85-2761-4D49-994E-482F6C035980}" name="estimate"/>
    <tableColumn id="5" xr3:uid="{238D2C52-91D6-334E-B392-058400511C3C}" name="std.error"/>
    <tableColumn id="6" xr3:uid="{B0E7DDE7-251F-8347-A39D-38C10F718867}" name="statistic"/>
    <tableColumn id="7" xr3:uid="{FECE18B4-4EB1-2D4A-B848-8B10E4EF165D}" name="conf.low"/>
    <tableColumn id="8" xr3:uid="{C6C1C870-EB99-3E47-A525-1D264823169E}" name="conf.high"/>
    <tableColumn id="9" xr3:uid="{840AC36C-3821-514D-B538-7DC8938B23F9}" name="p.value"/>
    <tableColumn id="10" xr3:uid="{9D328C48-2C57-B446-A7DA-6A0A00EFAEDD}" name="Significance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DBC1E1-BC65-4045-ABCE-CCF0A46AF01A}" name="Table15" displayName="Table15" ref="A1:K981" totalsRowShown="0">
  <autoFilter ref="A1:K981" xr:uid="{98DBC1E1-BC65-4045-ABCE-CCF0A46AF01A}">
    <filterColumn colId="0">
      <filters>
        <filter val="isolation_cat_d"/>
        <filter val="social_activities2_d"/>
        <filter val="social_health2_d"/>
        <filter val="social_relationships2_d"/>
      </filters>
    </filterColumn>
    <filterColumn colId="1">
      <filters>
        <filter val="IL_18"/>
        <filter val="IL_6"/>
        <filter val="TGF_beta1"/>
        <filter val="VEGF"/>
        <filter val="VILIP_1"/>
      </filters>
    </filterColumn>
  </autoFilter>
  <tableColumns count="11">
    <tableColumn id="1" xr3:uid="{BFFBE474-4FCE-B341-A594-53C0E24A714A}" name="exposure"/>
    <tableColumn id="2" xr3:uid="{6FEAC51C-02EC-E441-8785-4D9B92393749}" name="outcome_PC2"/>
    <tableColumn id="3" xr3:uid="{36FF76AB-6239-4342-A179-B0FBA37388E7}" name="race_dichotomized"/>
    <tableColumn id="4" xr3:uid="{4EE12E45-D94A-7F4E-B64E-6C71A78CEA3F}" name="term"/>
    <tableColumn id="5" xr3:uid="{A7F4CD70-4022-F04A-BD6F-D84300E7775B}" name="estimate"/>
    <tableColumn id="6" xr3:uid="{8EF3BB9E-8054-B94E-99F0-4530E8F7B4BE}" name="std.error"/>
    <tableColumn id="7" xr3:uid="{DBBCE53A-EAC1-B140-9FCE-FB223D8C896E}" name="statistic"/>
    <tableColumn id="8" xr3:uid="{83725B41-DD02-074E-8BBB-6064F241A0B9}" name="conf.low"/>
    <tableColumn id="9" xr3:uid="{04A1DA10-331A-8341-9E98-A779F2CBF724}" name="conf.high"/>
    <tableColumn id="10" xr3:uid="{772BC0DC-5729-5F4B-9FCE-5C6EF3D2E8A2}" name="p.value"/>
    <tableColumn id="11" xr3:uid="{A0C7FE89-B3C7-3D40-BECE-C7869FC535F3}" name="Significa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E168-FD63-0645-8DAD-03A017A30750}">
  <dimension ref="A1:L73"/>
  <sheetViews>
    <sheetView zoomScale="170" zoomScaleNormal="170" workbookViewId="0">
      <selection activeCell="D62" sqref="D62"/>
    </sheetView>
  </sheetViews>
  <sheetFormatPr baseColWidth="10" defaultRowHeight="16" x14ac:dyDescent="0.2"/>
  <cols>
    <col min="1" max="7" width="11" customWidth="1"/>
  </cols>
  <sheetData>
    <row r="1" spans="1:12" x14ac:dyDescent="0.2">
      <c r="A1" t="s">
        <v>36</v>
      </c>
      <c r="B1" t="s">
        <v>69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236</v>
      </c>
      <c r="I1" t="s">
        <v>237</v>
      </c>
      <c r="J1" t="s">
        <v>6</v>
      </c>
      <c r="K1" t="s">
        <v>62</v>
      </c>
      <c r="L1" s="202"/>
    </row>
    <row r="2" spans="1:12" hidden="1" x14ac:dyDescent="0.2">
      <c r="A2" s="5" t="s">
        <v>68</v>
      </c>
      <c r="B2" s="36" t="s">
        <v>70</v>
      </c>
      <c r="C2" s="21" t="s">
        <v>45</v>
      </c>
      <c r="D2" s="20" t="s">
        <v>92</v>
      </c>
      <c r="E2" s="20">
        <v>1.2470000000000001</v>
      </c>
      <c r="F2" s="20">
        <v>0.68920000000000003</v>
      </c>
      <c r="G2" s="20">
        <v>1.8089999999999999</v>
      </c>
      <c r="H2" s="20"/>
      <c r="I2" s="20"/>
      <c r="J2" s="20">
        <v>7.3300000000000004E-2</v>
      </c>
      <c r="K2" s="20" t="s">
        <v>60</v>
      </c>
      <c r="L2" s="202"/>
    </row>
    <row r="3" spans="1:12" hidden="1" x14ac:dyDescent="0.2">
      <c r="A3" s="5" t="s">
        <v>68</v>
      </c>
      <c r="B3" s="36" t="s">
        <v>70</v>
      </c>
      <c r="C3" s="21" t="s">
        <v>45</v>
      </c>
      <c r="D3" t="s">
        <v>93</v>
      </c>
      <c r="E3">
        <v>0.3836</v>
      </c>
      <c r="F3">
        <v>0.5887</v>
      </c>
      <c r="G3">
        <v>0.65200000000000002</v>
      </c>
      <c r="J3">
        <v>0.51619999999999999</v>
      </c>
      <c r="L3" s="202"/>
    </row>
    <row r="4" spans="1:12" hidden="1" x14ac:dyDescent="0.2">
      <c r="A4" s="5" t="s">
        <v>68</v>
      </c>
      <c r="B4" s="36" t="s">
        <v>70</v>
      </c>
      <c r="C4" s="21" t="s">
        <v>45</v>
      </c>
      <c r="D4" t="s">
        <v>94</v>
      </c>
      <c r="E4">
        <v>-0.51180000000000003</v>
      </c>
      <c r="F4">
        <v>0.46700000000000003</v>
      </c>
      <c r="G4">
        <v>-1.0960000000000001</v>
      </c>
      <c r="J4">
        <v>0.2757</v>
      </c>
      <c r="L4" s="202"/>
    </row>
    <row r="5" spans="1:12" hidden="1" x14ac:dyDescent="0.2">
      <c r="A5" s="5" t="s">
        <v>68</v>
      </c>
      <c r="B5" s="36" t="s">
        <v>70</v>
      </c>
      <c r="C5" s="22" t="s">
        <v>46</v>
      </c>
      <c r="D5" s="20" t="s">
        <v>95</v>
      </c>
      <c r="E5" s="20">
        <v>0.95694000000000001</v>
      </c>
      <c r="F5" s="20">
        <v>0.56133</v>
      </c>
      <c r="G5" s="20">
        <v>1.7050000000000001</v>
      </c>
      <c r="H5" s="20"/>
      <c r="I5" s="20"/>
      <c r="J5" s="20">
        <v>9.1300000000000006E-2</v>
      </c>
      <c r="K5" s="20" t="s">
        <v>60</v>
      </c>
      <c r="L5" s="202"/>
    </row>
    <row r="6" spans="1:12" hidden="1" x14ac:dyDescent="0.2">
      <c r="A6" s="5" t="s">
        <v>68</v>
      </c>
      <c r="B6" s="36" t="s">
        <v>70</v>
      </c>
      <c r="C6" s="22" t="s">
        <v>46</v>
      </c>
      <c r="D6" t="s">
        <v>93</v>
      </c>
      <c r="E6">
        <v>-5.7770000000000002E-2</v>
      </c>
      <c r="F6">
        <v>0.47946</v>
      </c>
      <c r="G6">
        <v>-0.12</v>
      </c>
      <c r="J6">
        <v>0.90429999999999999</v>
      </c>
      <c r="L6" s="202"/>
    </row>
    <row r="7" spans="1:12" hidden="1" x14ac:dyDescent="0.2">
      <c r="A7" s="5" t="s">
        <v>68</v>
      </c>
      <c r="B7" s="36" t="s">
        <v>70</v>
      </c>
      <c r="C7" s="22" t="s">
        <v>46</v>
      </c>
      <c r="D7" t="s">
        <v>96</v>
      </c>
      <c r="E7">
        <v>0.40744999999999998</v>
      </c>
      <c r="F7">
        <v>0.38035000000000002</v>
      </c>
      <c r="G7">
        <v>1.071</v>
      </c>
      <c r="J7">
        <v>0.28660000000000002</v>
      </c>
      <c r="L7" s="202"/>
    </row>
    <row r="8" spans="1:12" hidden="1" x14ac:dyDescent="0.2">
      <c r="A8" s="38" t="s">
        <v>75</v>
      </c>
      <c r="B8" s="39" t="s">
        <v>76</v>
      </c>
      <c r="C8" s="21" t="s">
        <v>45</v>
      </c>
      <c r="D8" t="s">
        <v>71</v>
      </c>
      <c r="E8">
        <v>1.4441999999999999</v>
      </c>
      <c r="F8">
        <v>1.0071000000000001</v>
      </c>
      <c r="G8">
        <v>1.4339999999999999</v>
      </c>
      <c r="J8">
        <v>0.155</v>
      </c>
      <c r="L8" s="202"/>
    </row>
    <row r="9" spans="1:12" hidden="1" x14ac:dyDescent="0.2">
      <c r="A9" s="38" t="s">
        <v>75</v>
      </c>
      <c r="B9" s="39" t="s">
        <v>76</v>
      </c>
      <c r="C9" s="21" t="s">
        <v>45</v>
      </c>
      <c r="D9" t="s">
        <v>72</v>
      </c>
      <c r="E9">
        <v>0.9607</v>
      </c>
      <c r="F9">
        <v>0.71099999999999997</v>
      </c>
      <c r="G9">
        <v>1.351</v>
      </c>
      <c r="J9">
        <v>0.18</v>
      </c>
      <c r="L9" s="202"/>
    </row>
    <row r="10" spans="1:12" hidden="1" x14ac:dyDescent="0.2">
      <c r="A10" s="38" t="s">
        <v>75</v>
      </c>
      <c r="B10" s="39" t="s">
        <v>76</v>
      </c>
      <c r="C10" s="21" t="s">
        <v>45</v>
      </c>
      <c r="D10" t="s">
        <v>73</v>
      </c>
      <c r="E10">
        <v>-0.28360000000000002</v>
      </c>
      <c r="F10">
        <v>0.70750000000000002</v>
      </c>
      <c r="G10">
        <v>-0.40100000000000002</v>
      </c>
      <c r="J10">
        <v>0.68899999999999995</v>
      </c>
      <c r="L10" s="202"/>
    </row>
    <row r="11" spans="1:12" hidden="1" x14ac:dyDescent="0.2">
      <c r="A11" s="38" t="s">
        <v>75</v>
      </c>
      <c r="B11" s="39" t="s">
        <v>76</v>
      </c>
      <c r="C11" s="22" t="s">
        <v>46</v>
      </c>
      <c r="D11" s="20" t="s">
        <v>71</v>
      </c>
      <c r="E11" s="20">
        <v>1.4661</v>
      </c>
      <c r="F11" s="20">
        <v>0.82020000000000004</v>
      </c>
      <c r="G11" s="20">
        <v>1.7869999999999999</v>
      </c>
      <c r="H11" s="20"/>
      <c r="I11" s="20"/>
      <c r="J11" s="20">
        <v>7.6799999999999993E-2</v>
      </c>
      <c r="K11" s="20" t="s">
        <v>60</v>
      </c>
      <c r="L11" s="202"/>
    </row>
    <row r="12" spans="1:12" hidden="1" x14ac:dyDescent="0.2">
      <c r="A12" s="38" t="s">
        <v>75</v>
      </c>
      <c r="B12" s="39" t="s">
        <v>76</v>
      </c>
      <c r="C12" s="22" t="s">
        <v>46</v>
      </c>
      <c r="D12" t="s">
        <v>72</v>
      </c>
      <c r="E12">
        <v>0.73150000000000004</v>
      </c>
      <c r="F12">
        <v>0.57899999999999996</v>
      </c>
      <c r="G12">
        <v>1.2629999999999999</v>
      </c>
      <c r="J12">
        <v>0.20930000000000001</v>
      </c>
      <c r="L12" s="202"/>
    </row>
    <row r="13" spans="1:12" hidden="1" x14ac:dyDescent="0.2">
      <c r="A13" s="38" t="s">
        <v>75</v>
      </c>
      <c r="B13" s="39" t="s">
        <v>76</v>
      </c>
      <c r="C13" s="22" t="s">
        <v>46</v>
      </c>
      <c r="D13" t="s">
        <v>73</v>
      </c>
      <c r="E13">
        <v>0.85019999999999996</v>
      </c>
      <c r="F13">
        <v>0.57620000000000005</v>
      </c>
      <c r="G13">
        <v>1.476</v>
      </c>
      <c r="J13">
        <v>0.1431</v>
      </c>
      <c r="L13" s="202"/>
    </row>
    <row r="14" spans="1:12" hidden="1" x14ac:dyDescent="0.2">
      <c r="A14" s="3" t="s">
        <v>15</v>
      </c>
      <c r="B14" s="37" t="s">
        <v>74</v>
      </c>
      <c r="C14" s="21" t="s">
        <v>45</v>
      </c>
      <c r="D14" t="s">
        <v>83</v>
      </c>
      <c r="E14">
        <v>1.1888000000000001</v>
      </c>
      <c r="F14">
        <v>0.88719999999999999</v>
      </c>
      <c r="G14">
        <v>1.34</v>
      </c>
      <c r="H14">
        <v>-0.57021580000000005</v>
      </c>
      <c r="I14">
        <v>2.9479058999999999</v>
      </c>
      <c r="J14">
        <v>0.183</v>
      </c>
      <c r="L14" s="202"/>
    </row>
    <row r="15" spans="1:12" hidden="1" x14ac:dyDescent="0.2">
      <c r="A15" s="3" t="s">
        <v>15</v>
      </c>
      <c r="B15" s="37" t="s">
        <v>74</v>
      </c>
      <c r="C15" s="22" t="s">
        <v>46</v>
      </c>
      <c r="D15" t="s">
        <v>83</v>
      </c>
      <c r="E15">
        <v>0.85399999999999998</v>
      </c>
      <c r="F15">
        <v>0.71550000000000002</v>
      </c>
      <c r="G15">
        <v>1.194</v>
      </c>
      <c r="H15">
        <v>-0.56473899999999999</v>
      </c>
      <c r="I15">
        <v>2.272783</v>
      </c>
      <c r="J15">
        <v>0.23499999999999999</v>
      </c>
      <c r="L15" s="202"/>
    </row>
    <row r="16" spans="1:12" x14ac:dyDescent="0.2">
      <c r="A16" s="67" t="s">
        <v>225</v>
      </c>
      <c r="B16" s="37" t="s">
        <v>74</v>
      </c>
      <c r="C16" s="21" t="s">
        <v>45</v>
      </c>
      <c r="D16" s="11" t="s">
        <v>224</v>
      </c>
      <c r="E16" s="11">
        <v>1.2432000000000001</v>
      </c>
      <c r="F16" s="11">
        <v>0.51049999999999995</v>
      </c>
      <c r="G16" s="11">
        <v>2.4350000000000001</v>
      </c>
      <c r="H16" s="11">
        <v>0.2309445</v>
      </c>
      <c r="I16" s="11">
        <v>2.2554756</v>
      </c>
      <c r="J16" s="11">
        <v>1.66E-2</v>
      </c>
      <c r="K16" s="11" t="s">
        <v>61</v>
      </c>
      <c r="L16" s="202"/>
    </row>
    <row r="17" spans="1:12" x14ac:dyDescent="0.2">
      <c r="A17" s="67" t="s">
        <v>225</v>
      </c>
      <c r="B17" s="37" t="s">
        <v>74</v>
      </c>
      <c r="C17" s="22" t="s">
        <v>46</v>
      </c>
      <c r="D17" t="s">
        <v>224</v>
      </c>
      <c r="E17">
        <v>0.3493</v>
      </c>
      <c r="F17">
        <v>0.42109999999999997</v>
      </c>
      <c r="G17">
        <v>0.83</v>
      </c>
      <c r="H17">
        <v>-0.48564990000000002</v>
      </c>
      <c r="I17">
        <v>1.1843188</v>
      </c>
      <c r="J17">
        <v>0.40899999999999997</v>
      </c>
      <c r="L17" s="202"/>
    </row>
    <row r="18" spans="1:12" hidden="1" x14ac:dyDescent="0.2">
      <c r="A18" s="6" t="s">
        <v>77</v>
      </c>
      <c r="B18" s="36" t="s">
        <v>70</v>
      </c>
      <c r="C18" s="21" t="s">
        <v>45</v>
      </c>
      <c r="D18" t="s">
        <v>97</v>
      </c>
      <c r="E18">
        <v>1.2616000000000001</v>
      </c>
      <c r="F18">
        <v>0.83120000000000005</v>
      </c>
      <c r="G18">
        <v>1.518</v>
      </c>
      <c r="J18">
        <v>0.13200000000000001</v>
      </c>
      <c r="L18" s="202"/>
    </row>
    <row r="19" spans="1:12" hidden="1" x14ac:dyDescent="0.2">
      <c r="A19" s="6" t="s">
        <v>77</v>
      </c>
      <c r="B19" s="36" t="s">
        <v>70</v>
      </c>
      <c r="C19" s="21" t="s">
        <v>45</v>
      </c>
      <c r="D19" t="s">
        <v>98</v>
      </c>
      <c r="E19">
        <v>0.40489999999999998</v>
      </c>
      <c r="F19">
        <v>0.69799999999999995</v>
      </c>
      <c r="G19">
        <v>0.57999999999999996</v>
      </c>
      <c r="J19">
        <v>0.56299999999999994</v>
      </c>
      <c r="L19" s="202"/>
    </row>
    <row r="20" spans="1:12" hidden="1" x14ac:dyDescent="0.2">
      <c r="A20" s="6" t="s">
        <v>77</v>
      </c>
      <c r="B20" s="36" t="s">
        <v>70</v>
      </c>
      <c r="C20" s="21" t="s">
        <v>45</v>
      </c>
      <c r="D20" t="s">
        <v>99</v>
      </c>
      <c r="E20">
        <v>0.2427</v>
      </c>
      <c r="F20">
        <v>0.53249999999999997</v>
      </c>
      <c r="G20">
        <v>0.45600000000000002</v>
      </c>
      <c r="J20">
        <v>0.64900000000000002</v>
      </c>
      <c r="L20" s="202"/>
    </row>
    <row r="21" spans="1:12" hidden="1" x14ac:dyDescent="0.2">
      <c r="A21" s="6" t="s">
        <v>77</v>
      </c>
      <c r="B21" s="36" t="s">
        <v>70</v>
      </c>
      <c r="C21" s="22" t="s">
        <v>46</v>
      </c>
      <c r="D21" t="s">
        <v>100</v>
      </c>
      <c r="E21">
        <v>0.57140000000000002</v>
      </c>
      <c r="F21">
        <v>0.67259999999999998</v>
      </c>
      <c r="G21">
        <v>0.85</v>
      </c>
      <c r="J21">
        <v>0.39800000000000002</v>
      </c>
      <c r="L21" s="202"/>
    </row>
    <row r="22" spans="1:12" hidden="1" x14ac:dyDescent="0.2">
      <c r="A22" s="6" t="s">
        <v>77</v>
      </c>
      <c r="B22" s="36" t="s">
        <v>70</v>
      </c>
      <c r="C22" s="22" t="s">
        <v>46</v>
      </c>
      <c r="D22" t="s">
        <v>98</v>
      </c>
      <c r="E22">
        <v>0.28060000000000002</v>
      </c>
      <c r="F22">
        <v>0.56479999999999997</v>
      </c>
      <c r="G22">
        <v>0.497</v>
      </c>
      <c r="J22">
        <v>0.62</v>
      </c>
      <c r="L22" s="202"/>
    </row>
    <row r="23" spans="1:12" hidden="1" x14ac:dyDescent="0.2">
      <c r="A23" s="6" t="s">
        <v>77</v>
      </c>
      <c r="B23" s="36" t="s">
        <v>70</v>
      </c>
      <c r="C23" s="22" t="s">
        <v>46</v>
      </c>
      <c r="D23" t="s">
        <v>99</v>
      </c>
      <c r="E23">
        <v>-0.1525</v>
      </c>
      <c r="F23">
        <v>0.43080000000000002</v>
      </c>
      <c r="G23">
        <v>-0.35399999999999998</v>
      </c>
      <c r="J23">
        <v>0.72399999999999998</v>
      </c>
      <c r="L23" s="202"/>
    </row>
    <row r="24" spans="1:12" hidden="1" x14ac:dyDescent="0.2">
      <c r="A24" s="40" t="s">
        <v>78</v>
      </c>
      <c r="B24" s="39" t="s">
        <v>76</v>
      </c>
      <c r="C24" s="21" t="s">
        <v>45</v>
      </c>
      <c r="D24" t="s">
        <v>79</v>
      </c>
      <c r="E24">
        <v>1.8011999999999999</v>
      </c>
      <c r="F24">
        <v>1.2181</v>
      </c>
      <c r="G24">
        <v>1.4790000000000001</v>
      </c>
      <c r="J24">
        <v>0.14199999999999999</v>
      </c>
      <c r="L24" s="202"/>
    </row>
    <row r="25" spans="1:12" hidden="1" x14ac:dyDescent="0.2">
      <c r="A25" s="40" t="s">
        <v>78</v>
      </c>
      <c r="B25" s="39" t="s">
        <v>76</v>
      </c>
      <c r="C25" s="21" t="s">
        <v>45</v>
      </c>
      <c r="D25" t="s">
        <v>80</v>
      </c>
      <c r="E25">
        <v>0.61499999999999999</v>
      </c>
      <c r="F25">
        <v>0.77910000000000001</v>
      </c>
      <c r="G25">
        <v>0.78900000000000003</v>
      </c>
      <c r="J25">
        <v>0.432</v>
      </c>
      <c r="L25" s="202"/>
    </row>
    <row r="26" spans="1:12" hidden="1" x14ac:dyDescent="0.2">
      <c r="A26" s="40" t="s">
        <v>78</v>
      </c>
      <c r="B26" s="39" t="s">
        <v>76</v>
      </c>
      <c r="C26" s="21" t="s">
        <v>45</v>
      </c>
      <c r="D26" t="s">
        <v>81</v>
      </c>
      <c r="E26">
        <v>0.37640000000000001</v>
      </c>
      <c r="F26">
        <v>0.64390000000000003</v>
      </c>
      <c r="G26">
        <v>0.58499999999999996</v>
      </c>
      <c r="J26">
        <v>0.56000000000000005</v>
      </c>
      <c r="L26" s="202"/>
    </row>
    <row r="27" spans="1:12" hidden="1" x14ac:dyDescent="0.2">
      <c r="A27" s="40" t="s">
        <v>78</v>
      </c>
      <c r="B27" s="39" t="s">
        <v>76</v>
      </c>
      <c r="C27" s="22" t="s">
        <v>46</v>
      </c>
      <c r="D27" t="s">
        <v>79</v>
      </c>
      <c r="E27">
        <v>0.69835000000000003</v>
      </c>
      <c r="F27">
        <v>0.98555999999999999</v>
      </c>
      <c r="G27">
        <v>0.70899999999999996</v>
      </c>
      <c r="J27">
        <v>0.48</v>
      </c>
      <c r="L27" s="202"/>
    </row>
    <row r="28" spans="1:12" hidden="1" x14ac:dyDescent="0.2">
      <c r="A28" s="40" t="s">
        <v>78</v>
      </c>
      <c r="B28" s="39" t="s">
        <v>76</v>
      </c>
      <c r="C28" s="22" t="s">
        <v>46</v>
      </c>
      <c r="D28" t="s">
        <v>80</v>
      </c>
      <c r="E28">
        <v>0.29862</v>
      </c>
      <c r="F28">
        <v>0.63036000000000003</v>
      </c>
      <c r="G28">
        <v>0.47399999999999998</v>
      </c>
      <c r="J28">
        <v>0.63700000000000001</v>
      </c>
      <c r="L28" s="202"/>
    </row>
    <row r="29" spans="1:12" hidden="1" x14ac:dyDescent="0.2">
      <c r="A29" s="40" t="s">
        <v>78</v>
      </c>
      <c r="B29" s="39" t="s">
        <v>76</v>
      </c>
      <c r="C29" s="22" t="s">
        <v>46</v>
      </c>
      <c r="D29" t="s">
        <v>81</v>
      </c>
      <c r="E29">
        <v>-0.16148999999999999</v>
      </c>
      <c r="F29">
        <v>0.52102000000000004</v>
      </c>
      <c r="G29">
        <v>-0.31</v>
      </c>
      <c r="J29">
        <v>0.75700000000000001</v>
      </c>
      <c r="L29" s="202"/>
    </row>
    <row r="30" spans="1:12" hidden="1" x14ac:dyDescent="0.2">
      <c r="A30" s="2" t="s">
        <v>23</v>
      </c>
      <c r="B30" s="37" t="s">
        <v>74</v>
      </c>
      <c r="C30" s="21" t="s">
        <v>45</v>
      </c>
      <c r="D30" s="26" t="s">
        <v>82</v>
      </c>
      <c r="E30">
        <v>1.47</v>
      </c>
      <c r="F30">
        <v>1.123</v>
      </c>
      <c r="G30">
        <v>1.3089999999999999</v>
      </c>
      <c r="H30">
        <v>-0.75665859999999996</v>
      </c>
      <c r="I30">
        <v>3.6960899</v>
      </c>
      <c r="J30">
        <v>0.193</v>
      </c>
      <c r="L30" s="202"/>
    </row>
    <row r="31" spans="1:12" hidden="1" x14ac:dyDescent="0.2">
      <c r="A31" s="2" t="s">
        <v>23</v>
      </c>
      <c r="B31" s="37" t="s">
        <v>74</v>
      </c>
      <c r="C31" s="22" t="s">
        <v>46</v>
      </c>
      <c r="D31" s="26" t="s">
        <v>82</v>
      </c>
      <c r="E31">
        <v>0.71799999999999997</v>
      </c>
      <c r="F31">
        <v>0.90869999999999995</v>
      </c>
      <c r="G31">
        <v>0.79</v>
      </c>
      <c r="H31">
        <v>-1.0837154</v>
      </c>
      <c r="I31">
        <v>2.5198098</v>
      </c>
      <c r="J31">
        <v>0.43099999999999999</v>
      </c>
      <c r="L31" s="202"/>
    </row>
    <row r="32" spans="1:12" x14ac:dyDescent="0.2">
      <c r="A32" s="68" t="s">
        <v>226</v>
      </c>
      <c r="B32" s="37" t="s">
        <v>74</v>
      </c>
      <c r="C32" s="21" t="s">
        <v>45</v>
      </c>
      <c r="D32" s="26" t="s">
        <v>227</v>
      </c>
      <c r="E32">
        <v>0.61670000000000003</v>
      </c>
      <c r="F32">
        <v>0.58940000000000003</v>
      </c>
      <c r="G32">
        <v>1.046</v>
      </c>
      <c r="H32">
        <v>-0.55204019999999998</v>
      </c>
      <c r="I32">
        <v>1.7853680999999999</v>
      </c>
      <c r="J32">
        <v>0.29799999999999999</v>
      </c>
      <c r="L32" s="202"/>
    </row>
    <row r="33" spans="1:12" x14ac:dyDescent="0.2">
      <c r="A33" s="68" t="s">
        <v>226</v>
      </c>
      <c r="B33" s="37" t="s">
        <v>74</v>
      </c>
      <c r="C33" s="22" t="s">
        <v>46</v>
      </c>
      <c r="D33" s="25" t="s">
        <v>227</v>
      </c>
      <c r="E33">
        <v>0.49259999999999998</v>
      </c>
      <c r="F33">
        <v>0.47460000000000002</v>
      </c>
      <c r="G33">
        <v>1.038</v>
      </c>
      <c r="H33">
        <v>-0.44843100000000002</v>
      </c>
      <c r="I33">
        <v>1.4336666</v>
      </c>
      <c r="J33">
        <v>0.30199999999999999</v>
      </c>
      <c r="L33" s="202"/>
    </row>
    <row r="34" spans="1:12" hidden="1" x14ac:dyDescent="0.2">
      <c r="A34" s="80" t="s">
        <v>260</v>
      </c>
      <c r="B34" s="83" t="s">
        <v>259</v>
      </c>
      <c r="C34" s="21" t="s">
        <v>45</v>
      </c>
      <c r="D34" s="81" t="s">
        <v>266</v>
      </c>
      <c r="E34" s="20">
        <v>-0.30259999999999998</v>
      </c>
      <c r="F34" s="20">
        <v>0.1595</v>
      </c>
      <c r="G34" s="20">
        <v>-1.897</v>
      </c>
      <c r="H34" s="20">
        <v>-0.61892250000000004</v>
      </c>
      <c r="I34" s="20">
        <v>1.3687110000000001E-2</v>
      </c>
      <c r="J34" s="20">
        <v>6.0600000000000001E-2</v>
      </c>
      <c r="K34" s="20" t="s">
        <v>200</v>
      </c>
      <c r="L34" s="202"/>
    </row>
    <row r="35" spans="1:12" hidden="1" x14ac:dyDescent="0.2">
      <c r="A35" s="80" t="s">
        <v>260</v>
      </c>
      <c r="B35" s="83" t="s">
        <v>259</v>
      </c>
      <c r="C35" s="22" t="s">
        <v>46</v>
      </c>
      <c r="D35" t="s">
        <v>266</v>
      </c>
      <c r="E35">
        <v>-0.17030000000000001</v>
      </c>
      <c r="F35">
        <v>0.12959999999999999</v>
      </c>
      <c r="G35">
        <v>-1.3140000000000001</v>
      </c>
      <c r="H35">
        <v>-0.42719430000000003</v>
      </c>
      <c r="I35">
        <v>8.6590819999999999E-2</v>
      </c>
      <c r="J35">
        <v>0.192</v>
      </c>
      <c r="L35" s="202"/>
    </row>
    <row r="36" spans="1:12" hidden="1" x14ac:dyDescent="0.2">
      <c r="A36" s="82" t="s">
        <v>261</v>
      </c>
      <c r="B36" s="37" t="s">
        <v>74</v>
      </c>
      <c r="C36" s="21" t="s">
        <v>45</v>
      </c>
      <c r="D36" t="s">
        <v>267</v>
      </c>
      <c r="E36">
        <v>0.73080000000000001</v>
      </c>
      <c r="F36">
        <v>0.51990000000000003</v>
      </c>
      <c r="G36">
        <v>1.4059999999999999</v>
      </c>
      <c r="H36">
        <v>-0.30000470000000001</v>
      </c>
      <c r="I36">
        <v>1.7616020999999999</v>
      </c>
      <c r="J36">
        <v>0.16300000000000001</v>
      </c>
      <c r="L36" s="202"/>
    </row>
    <row r="37" spans="1:12" hidden="1" x14ac:dyDescent="0.2">
      <c r="A37" s="82" t="s">
        <v>261</v>
      </c>
      <c r="B37" s="37" t="s">
        <v>74</v>
      </c>
      <c r="C37" s="22" t="s">
        <v>46</v>
      </c>
      <c r="D37" t="s">
        <v>268</v>
      </c>
      <c r="E37">
        <v>8.2799999999999999E-2</v>
      </c>
      <c r="F37">
        <v>0.42241000000000001</v>
      </c>
      <c r="G37">
        <v>0.19600000000000001</v>
      </c>
      <c r="H37">
        <v>-0.75476509999999997</v>
      </c>
      <c r="I37">
        <v>0.92036059999999997</v>
      </c>
      <c r="J37">
        <v>0.84499999999999997</v>
      </c>
      <c r="L37" s="202"/>
    </row>
    <row r="38" spans="1:12" hidden="1" x14ac:dyDescent="0.2">
      <c r="A38" s="195" t="s">
        <v>277</v>
      </c>
      <c r="B38" s="37" t="s">
        <v>74</v>
      </c>
      <c r="C38" s="21" t="s">
        <v>45</v>
      </c>
      <c r="D38" t="s">
        <v>278</v>
      </c>
      <c r="E38">
        <v>0.79210000000000003</v>
      </c>
      <c r="F38">
        <v>0.59460000000000002</v>
      </c>
      <c r="G38">
        <v>1.3320000000000001</v>
      </c>
      <c r="H38">
        <v>-0.38679279999999999</v>
      </c>
      <c r="I38">
        <v>1.9710357999999999</v>
      </c>
      <c r="J38">
        <v>0.186</v>
      </c>
      <c r="L38" s="202"/>
    </row>
    <row r="39" spans="1:12" hidden="1" x14ac:dyDescent="0.2">
      <c r="A39" s="195" t="s">
        <v>277</v>
      </c>
      <c r="B39" s="37" t="s">
        <v>74</v>
      </c>
      <c r="C39" s="22" t="s">
        <v>46</v>
      </c>
      <c r="D39" t="s">
        <v>279</v>
      </c>
      <c r="E39">
        <v>4.2999999999999997E-2</v>
      </c>
      <c r="F39">
        <v>0.48271999999999998</v>
      </c>
      <c r="G39">
        <v>8.8999999999999996E-2</v>
      </c>
      <c r="H39">
        <v>-0.91415009999999997</v>
      </c>
      <c r="I39">
        <v>1.0001416000000001</v>
      </c>
      <c r="J39">
        <v>0.92900000000000005</v>
      </c>
      <c r="L39" s="202"/>
    </row>
    <row r="40" spans="1:12" hidden="1" x14ac:dyDescent="0.2">
      <c r="A40" s="35" t="s">
        <v>84</v>
      </c>
      <c r="B40" s="39" t="s">
        <v>76</v>
      </c>
      <c r="C40" s="21" t="s">
        <v>45</v>
      </c>
      <c r="D40" s="20" t="s">
        <v>88</v>
      </c>
      <c r="E40" s="20">
        <v>1.6640999999999999</v>
      </c>
      <c r="F40" s="20">
        <v>0.84789999999999999</v>
      </c>
      <c r="G40" s="20">
        <v>-1.9630000000000001</v>
      </c>
      <c r="H40" s="20"/>
      <c r="I40" s="20"/>
      <c r="J40" s="20">
        <v>5.2400000000000002E-2</v>
      </c>
      <c r="K40" s="20" t="s">
        <v>60</v>
      </c>
      <c r="L40" s="202"/>
    </row>
    <row r="41" spans="1:12" hidden="1" x14ac:dyDescent="0.2">
      <c r="A41" s="35" t="s">
        <v>84</v>
      </c>
      <c r="B41" s="39" t="s">
        <v>76</v>
      </c>
      <c r="C41" s="21" t="s">
        <v>45</v>
      </c>
      <c r="D41" t="s">
        <v>89</v>
      </c>
      <c r="E41">
        <v>1.2608999999999999</v>
      </c>
      <c r="F41">
        <v>0.78390000000000004</v>
      </c>
      <c r="G41">
        <v>1.6080000000000001</v>
      </c>
      <c r="J41">
        <v>0.1108</v>
      </c>
      <c r="L41" s="202"/>
    </row>
    <row r="42" spans="1:12" hidden="1" x14ac:dyDescent="0.2">
      <c r="A42" s="35" t="s">
        <v>84</v>
      </c>
      <c r="B42" s="39" t="s">
        <v>76</v>
      </c>
      <c r="C42" s="21" t="s">
        <v>45</v>
      </c>
      <c r="D42" s="11" t="s">
        <v>90</v>
      </c>
      <c r="E42" s="11">
        <v>1.3869</v>
      </c>
      <c r="F42" s="11">
        <v>0.66059999999999997</v>
      </c>
      <c r="G42" s="11">
        <v>2.0990000000000002</v>
      </c>
      <c r="H42" s="11"/>
      <c r="I42" s="11"/>
      <c r="J42" s="11">
        <v>3.8199999999999998E-2</v>
      </c>
      <c r="K42" s="11" t="s">
        <v>61</v>
      </c>
      <c r="L42" s="202"/>
    </row>
    <row r="43" spans="1:12" hidden="1" x14ac:dyDescent="0.2">
      <c r="A43" s="35" t="s">
        <v>84</v>
      </c>
      <c r="B43" s="39" t="s">
        <v>76</v>
      </c>
      <c r="C43" s="22" t="s">
        <v>46</v>
      </c>
      <c r="D43" t="s">
        <v>91</v>
      </c>
      <c r="E43">
        <v>3.5998000000000002E-2</v>
      </c>
      <c r="F43">
        <v>0.70101500000000005</v>
      </c>
      <c r="G43">
        <v>-5.0999999999999997E-2</v>
      </c>
      <c r="J43">
        <v>0.95899999999999996</v>
      </c>
      <c r="L43" s="202"/>
    </row>
    <row r="44" spans="1:12" hidden="1" x14ac:dyDescent="0.2">
      <c r="A44" s="35" t="s">
        <v>84</v>
      </c>
      <c r="B44" s="39" t="s">
        <v>76</v>
      </c>
      <c r="C44" s="22" t="s">
        <v>46</v>
      </c>
      <c r="D44" t="s">
        <v>86</v>
      </c>
      <c r="E44">
        <v>4.1502999999999998E-2</v>
      </c>
      <c r="F44">
        <v>0.64813399999999999</v>
      </c>
      <c r="G44">
        <v>6.4000000000000001E-2</v>
      </c>
      <c r="J44">
        <v>0.94899999999999995</v>
      </c>
      <c r="L44" s="202"/>
    </row>
    <row r="45" spans="1:12" hidden="1" x14ac:dyDescent="0.2">
      <c r="A45" s="35" t="s">
        <v>84</v>
      </c>
      <c r="B45" s="39" t="s">
        <v>76</v>
      </c>
      <c r="C45" s="22" t="s">
        <v>46</v>
      </c>
      <c r="D45" t="s">
        <v>87</v>
      </c>
      <c r="E45">
        <v>-4.1042000000000002E-2</v>
      </c>
      <c r="F45">
        <v>0.54618299999999997</v>
      </c>
      <c r="G45">
        <v>-7.4999999999999997E-2</v>
      </c>
      <c r="J45">
        <v>0.94</v>
      </c>
      <c r="L45" s="202"/>
    </row>
    <row r="46" spans="1:12" hidden="1" x14ac:dyDescent="0.2">
      <c r="A46" s="4" t="s">
        <v>85</v>
      </c>
      <c r="B46" s="36" t="s">
        <v>70</v>
      </c>
      <c r="C46" s="21" t="s">
        <v>45</v>
      </c>
      <c r="D46" s="20" t="s">
        <v>101</v>
      </c>
      <c r="E46" s="20">
        <v>1.0881149999999999</v>
      </c>
      <c r="F46" s="20">
        <v>0.58992199999999995</v>
      </c>
      <c r="G46" s="20">
        <v>1.845</v>
      </c>
      <c r="H46" s="20"/>
      <c r="I46" s="20"/>
      <c r="J46" s="20">
        <v>6.8000000000000005E-2</v>
      </c>
      <c r="K46" s="20" t="s">
        <v>60</v>
      </c>
      <c r="L46" s="202"/>
    </row>
    <row r="47" spans="1:12" hidden="1" x14ac:dyDescent="0.2">
      <c r="A47" s="4" t="s">
        <v>85</v>
      </c>
      <c r="B47" s="36" t="s">
        <v>70</v>
      </c>
      <c r="C47" s="21" t="s">
        <v>45</v>
      </c>
      <c r="D47" t="s">
        <v>104</v>
      </c>
      <c r="E47">
        <v>-0.491836</v>
      </c>
      <c r="F47">
        <v>0.54972299999999996</v>
      </c>
      <c r="G47">
        <v>-0.89500000000000002</v>
      </c>
      <c r="J47">
        <v>0.373</v>
      </c>
      <c r="L47" s="202"/>
    </row>
    <row r="48" spans="1:12" hidden="1" x14ac:dyDescent="0.2">
      <c r="A48" s="4" t="s">
        <v>85</v>
      </c>
      <c r="B48" s="36" t="s">
        <v>70</v>
      </c>
      <c r="C48" s="21" t="s">
        <v>45</v>
      </c>
      <c r="D48" t="s">
        <v>105</v>
      </c>
      <c r="E48">
        <v>0.45663900000000002</v>
      </c>
      <c r="F48">
        <v>0.50634199999999996</v>
      </c>
      <c r="G48">
        <v>0.90200000000000002</v>
      </c>
      <c r="J48">
        <v>0.36899999999999999</v>
      </c>
      <c r="L48" s="202"/>
    </row>
    <row r="49" spans="1:12" hidden="1" x14ac:dyDescent="0.2">
      <c r="A49" s="4" t="s">
        <v>85</v>
      </c>
      <c r="B49" s="36" t="s">
        <v>70</v>
      </c>
      <c r="C49" s="22" t="s">
        <v>46</v>
      </c>
      <c r="D49" t="s">
        <v>101</v>
      </c>
      <c r="E49">
        <v>4.2610000000000002E-2</v>
      </c>
      <c r="F49">
        <v>0.48773</v>
      </c>
      <c r="G49">
        <v>8.6999999999999994E-2</v>
      </c>
      <c r="J49">
        <v>0.93100000000000005</v>
      </c>
      <c r="L49" s="202"/>
    </row>
    <row r="50" spans="1:12" hidden="1" x14ac:dyDescent="0.2">
      <c r="A50" s="4" t="s">
        <v>85</v>
      </c>
      <c r="B50" s="36" t="s">
        <v>70</v>
      </c>
      <c r="C50" s="22" t="s">
        <v>46</v>
      </c>
      <c r="D50" t="s">
        <v>102</v>
      </c>
      <c r="E50">
        <v>1.7770000000000001E-2</v>
      </c>
      <c r="F50">
        <v>0.45450000000000002</v>
      </c>
      <c r="G50">
        <v>3.9E-2</v>
      </c>
      <c r="J50">
        <v>0.96899999999999997</v>
      </c>
      <c r="L50" s="202"/>
    </row>
    <row r="51" spans="1:12" hidden="1" x14ac:dyDescent="0.2">
      <c r="A51" s="4" t="s">
        <v>85</v>
      </c>
      <c r="B51" s="36" t="s">
        <v>70</v>
      </c>
      <c r="C51" s="22" t="s">
        <v>46</v>
      </c>
      <c r="D51" t="s">
        <v>103</v>
      </c>
      <c r="E51">
        <v>-4.7320000000000001E-2</v>
      </c>
      <c r="F51">
        <v>0.41863</v>
      </c>
      <c r="G51">
        <v>-0.113</v>
      </c>
      <c r="J51">
        <v>0.91</v>
      </c>
      <c r="L51" s="202"/>
    </row>
    <row r="52" spans="1:12" x14ac:dyDescent="0.2">
      <c r="A52" s="1" t="s">
        <v>10</v>
      </c>
      <c r="B52" s="37" t="s">
        <v>74</v>
      </c>
      <c r="C52" s="21" t="s">
        <v>45</v>
      </c>
      <c r="D52" s="11" t="s">
        <v>50</v>
      </c>
      <c r="E52" s="11">
        <v>1.4087000000000001</v>
      </c>
      <c r="F52" s="11">
        <v>0.59989999999999999</v>
      </c>
      <c r="G52" s="11">
        <v>2.3479999999999999</v>
      </c>
      <c r="H52" s="11">
        <v>0.2192153</v>
      </c>
      <c r="I52" s="11">
        <v>2.5981786900000001</v>
      </c>
      <c r="J52" s="11">
        <v>2.07E-2</v>
      </c>
      <c r="K52" s="11" t="s">
        <v>61</v>
      </c>
      <c r="L52" s="202"/>
    </row>
    <row r="53" spans="1:12" x14ac:dyDescent="0.2">
      <c r="A53" s="1" t="s">
        <v>10</v>
      </c>
      <c r="B53" s="37" t="s">
        <v>74</v>
      </c>
      <c r="C53" s="22" t="s">
        <v>46</v>
      </c>
      <c r="D53" t="s">
        <v>51</v>
      </c>
      <c r="E53">
        <v>-4.8700000000000002E-3</v>
      </c>
      <c r="F53">
        <v>0.49552099999999999</v>
      </c>
      <c r="G53">
        <v>-0.01</v>
      </c>
      <c r="H53">
        <v>-0.98739650000000001</v>
      </c>
      <c r="I53">
        <v>0.97765650000000004</v>
      </c>
      <c r="J53">
        <v>0.99199999999999999</v>
      </c>
      <c r="L53" s="202"/>
    </row>
    <row r="54" spans="1:12" hidden="1" x14ac:dyDescent="0.2">
      <c r="A54" s="70" t="s">
        <v>228</v>
      </c>
      <c r="B54" s="37" t="s">
        <v>74</v>
      </c>
      <c r="C54" s="21" t="s">
        <v>45</v>
      </c>
      <c r="D54" t="s">
        <v>229</v>
      </c>
      <c r="E54">
        <v>0.54369999999999996</v>
      </c>
      <c r="F54">
        <v>0.54500000000000004</v>
      </c>
      <c r="G54">
        <v>0.998</v>
      </c>
      <c r="H54">
        <v>-0.53691089999999997</v>
      </c>
      <c r="I54">
        <v>1.6242186000000001</v>
      </c>
      <c r="J54">
        <v>0.32100000000000001</v>
      </c>
      <c r="L54" s="202"/>
    </row>
    <row r="55" spans="1:12" hidden="1" x14ac:dyDescent="0.2">
      <c r="A55" s="70" t="s">
        <v>228</v>
      </c>
      <c r="B55" s="37" t="s">
        <v>74</v>
      </c>
      <c r="C55" s="22" t="s">
        <v>46</v>
      </c>
      <c r="D55" t="s">
        <v>230</v>
      </c>
      <c r="E55">
        <v>6.5509999999999999E-2</v>
      </c>
      <c r="F55">
        <v>0.44080000000000003</v>
      </c>
      <c r="G55">
        <v>0.14899999999999999</v>
      </c>
      <c r="H55">
        <v>-0.80852250000000003</v>
      </c>
      <c r="I55">
        <v>0.93953560000000003</v>
      </c>
      <c r="J55">
        <v>0.88200000000000001</v>
      </c>
      <c r="L55" s="202"/>
    </row>
    <row r="56" spans="1:12" hidden="1" x14ac:dyDescent="0.2">
      <c r="A56" s="70" t="s">
        <v>275</v>
      </c>
      <c r="B56" s="83" t="s">
        <v>259</v>
      </c>
      <c r="C56" s="21" t="s">
        <v>45</v>
      </c>
      <c r="D56" s="20" t="s">
        <v>275</v>
      </c>
      <c r="E56" s="20">
        <v>-0.44119999999999998</v>
      </c>
      <c r="F56" s="20">
        <v>0.2417</v>
      </c>
      <c r="G56" s="20">
        <v>-1.8260000000000001</v>
      </c>
      <c r="H56" s="20">
        <v>-0.92036300000000004</v>
      </c>
      <c r="I56" s="20">
        <v>3.8011400000000001E-2</v>
      </c>
      <c r="J56" s="20">
        <v>7.0800000000000002E-2</v>
      </c>
      <c r="K56" s="20" t="s">
        <v>200</v>
      </c>
      <c r="L56" s="202"/>
    </row>
    <row r="57" spans="1:12" hidden="1" x14ac:dyDescent="0.2">
      <c r="A57" s="70" t="s">
        <v>275</v>
      </c>
      <c r="B57" s="83" t="s">
        <v>259</v>
      </c>
      <c r="C57" s="22" t="s">
        <v>46</v>
      </c>
      <c r="D57" t="s">
        <v>275</v>
      </c>
      <c r="E57">
        <v>-6.1280000000000001E-2</v>
      </c>
      <c r="F57">
        <v>0.19755</v>
      </c>
      <c r="G57">
        <v>-0.31</v>
      </c>
      <c r="H57">
        <v>-0.45298559999999999</v>
      </c>
      <c r="I57">
        <v>0.33043220000000001</v>
      </c>
      <c r="J57">
        <v>0.75700000000000001</v>
      </c>
      <c r="L57" s="202"/>
    </row>
    <row r="58" spans="1:12" hidden="1" x14ac:dyDescent="0.2">
      <c r="A58" s="83" t="s">
        <v>262</v>
      </c>
      <c r="B58" s="83" t="s">
        <v>259</v>
      </c>
      <c r="C58" s="21" t="s">
        <v>45</v>
      </c>
      <c r="D58" s="11" t="s">
        <v>262</v>
      </c>
      <c r="E58" s="11">
        <v>-0.29409999999999997</v>
      </c>
      <c r="F58" s="11">
        <v>0.1217</v>
      </c>
      <c r="G58" s="11">
        <v>-2.4169999999999998</v>
      </c>
      <c r="H58" s="11">
        <f>-0.5352909</f>
        <v>-0.53529090000000001</v>
      </c>
      <c r="I58" s="11">
        <v>-5.2821140000000003E-2</v>
      </c>
      <c r="J58" s="11">
        <v>1.7399999999999999E-2</v>
      </c>
      <c r="K58" s="11" t="s">
        <v>61</v>
      </c>
      <c r="L58" s="202"/>
    </row>
    <row r="59" spans="1:12" hidden="1" x14ac:dyDescent="0.2">
      <c r="A59" s="83" t="s">
        <v>262</v>
      </c>
      <c r="B59" s="83" t="s">
        <v>259</v>
      </c>
      <c r="C59" s="22" t="s">
        <v>46</v>
      </c>
      <c r="D59" t="s">
        <v>262</v>
      </c>
      <c r="E59">
        <v>-0.11699</v>
      </c>
      <c r="F59">
        <v>9.9989999999999996E-2</v>
      </c>
      <c r="G59">
        <v>-1.17</v>
      </c>
      <c r="H59">
        <v>-0.31526290000000001</v>
      </c>
      <c r="I59">
        <v>8.1276810000000005E-2</v>
      </c>
      <c r="J59">
        <v>0.245</v>
      </c>
      <c r="L59" s="202"/>
    </row>
    <row r="60" spans="1:12" hidden="1" x14ac:dyDescent="0.2">
      <c r="A60" s="113" t="s">
        <v>263</v>
      </c>
      <c r="B60" s="37" t="s">
        <v>74</v>
      </c>
      <c r="C60" s="21" t="s">
        <v>45</v>
      </c>
      <c r="D60" s="20" t="s">
        <v>264</v>
      </c>
      <c r="E60" s="20">
        <v>0.99509999999999998</v>
      </c>
      <c r="F60" s="20">
        <v>0.51170000000000004</v>
      </c>
      <c r="G60" s="20">
        <v>1.944</v>
      </c>
      <c r="H60" s="20">
        <v>-1.9623149999999999E-2</v>
      </c>
      <c r="I60" s="20">
        <v>2.0097527999999998</v>
      </c>
      <c r="J60" s="20">
        <v>5.45E-2</v>
      </c>
      <c r="K60" s="20" t="s">
        <v>200</v>
      </c>
      <c r="L60" s="202"/>
    </row>
    <row r="61" spans="1:12" hidden="1" x14ac:dyDescent="0.2">
      <c r="A61" s="113" t="s">
        <v>263</v>
      </c>
      <c r="B61" s="37" t="s">
        <v>74</v>
      </c>
      <c r="C61" s="22" t="s">
        <v>46</v>
      </c>
      <c r="D61" s="20" t="s">
        <v>264</v>
      </c>
      <c r="E61" s="20">
        <v>0.6966</v>
      </c>
      <c r="F61" s="20">
        <v>0.4138</v>
      </c>
      <c r="G61" s="20">
        <v>1.6830000000000001</v>
      </c>
      <c r="H61" s="20">
        <v>-0.1239287</v>
      </c>
      <c r="I61" s="20">
        <v>1.5171680000000001</v>
      </c>
      <c r="J61" s="20">
        <v>9.5299999999999996E-2</v>
      </c>
      <c r="K61" s="20" t="s">
        <v>200</v>
      </c>
    </row>
    <row r="62" spans="1:12" x14ac:dyDescent="0.2">
      <c r="A62" s="196" t="s">
        <v>280</v>
      </c>
      <c r="B62" s="37" t="s">
        <v>74</v>
      </c>
      <c r="C62" s="21" t="s">
        <v>45</v>
      </c>
      <c r="D62" s="11" t="s">
        <v>281</v>
      </c>
      <c r="E62" s="11">
        <v>1.3512</v>
      </c>
      <c r="F62" s="11">
        <v>0.55869999999999997</v>
      </c>
      <c r="G62" s="11">
        <v>2.4180000000000001</v>
      </c>
      <c r="H62" s="11">
        <v>0.24330280000000001</v>
      </c>
      <c r="I62" s="11">
        <v>2.45906007</v>
      </c>
      <c r="J62" s="11">
        <v>1.7299999999999999E-2</v>
      </c>
      <c r="K62" s="11" t="s">
        <v>61</v>
      </c>
    </row>
    <row r="63" spans="1:12" x14ac:dyDescent="0.2">
      <c r="A63" s="196" t="s">
        <v>280</v>
      </c>
      <c r="B63" s="37" t="s">
        <v>74</v>
      </c>
      <c r="C63" s="22" t="s">
        <v>46</v>
      </c>
      <c r="D63" t="s">
        <v>282</v>
      </c>
      <c r="E63">
        <v>9.2340000000000005E-2</v>
      </c>
      <c r="F63">
        <v>0.46214</v>
      </c>
      <c r="G63">
        <v>0.2</v>
      </c>
      <c r="H63">
        <v>-0.82398419999999994</v>
      </c>
      <c r="I63">
        <v>1.0086728</v>
      </c>
      <c r="J63">
        <v>0.84199999999999997</v>
      </c>
    </row>
    <row r="64" spans="1:12" hidden="1" x14ac:dyDescent="0.2">
      <c r="A64" s="19" t="s">
        <v>27</v>
      </c>
      <c r="B64" s="39" t="s">
        <v>76</v>
      </c>
      <c r="C64" s="21" t="s">
        <v>45</v>
      </c>
      <c r="D64" t="s">
        <v>54</v>
      </c>
      <c r="E64">
        <v>0.41104000000000002</v>
      </c>
      <c r="F64">
        <v>0.63982000000000006</v>
      </c>
      <c r="G64">
        <v>0.64200000000000002</v>
      </c>
      <c r="J64">
        <v>0.52200000000000002</v>
      </c>
    </row>
    <row r="65" spans="1:11" hidden="1" x14ac:dyDescent="0.2">
      <c r="A65" s="19" t="s">
        <v>27</v>
      </c>
      <c r="B65" s="39" t="s">
        <v>76</v>
      </c>
      <c r="C65" s="21" t="s">
        <v>45</v>
      </c>
      <c r="D65" s="20" t="s">
        <v>55</v>
      </c>
      <c r="E65" s="20">
        <v>2.4448799999999999</v>
      </c>
      <c r="F65" s="20">
        <v>1.3757900000000001</v>
      </c>
      <c r="G65" s="20">
        <v>1.7769999999999999</v>
      </c>
      <c r="H65" s="20"/>
      <c r="I65" s="20"/>
      <c r="J65" s="20">
        <v>7.85E-2</v>
      </c>
      <c r="K65" s="20" t="s">
        <v>60</v>
      </c>
    </row>
    <row r="66" spans="1:11" hidden="1" x14ac:dyDescent="0.2">
      <c r="A66" s="19" t="s">
        <v>27</v>
      </c>
      <c r="B66" s="39" t="s">
        <v>76</v>
      </c>
      <c r="C66" s="21" t="s">
        <v>45</v>
      </c>
      <c r="D66" t="s">
        <v>56</v>
      </c>
      <c r="E66">
        <v>2.4561299999999999</v>
      </c>
      <c r="F66">
        <v>2.69814</v>
      </c>
      <c r="G66">
        <v>0.91</v>
      </c>
      <c r="J66">
        <v>0.36480000000000001</v>
      </c>
    </row>
    <row r="67" spans="1:11" hidden="1" x14ac:dyDescent="0.2">
      <c r="A67" s="19" t="s">
        <v>27</v>
      </c>
      <c r="B67" s="39" t="s">
        <v>76</v>
      </c>
      <c r="C67" s="21" t="s">
        <v>45</v>
      </c>
      <c r="D67" t="s">
        <v>57</v>
      </c>
      <c r="E67">
        <v>6.7049999999999998E-2</v>
      </c>
      <c r="F67">
        <v>1.2383999999999999</v>
      </c>
      <c r="G67">
        <v>5.3999999999999999E-2</v>
      </c>
      <c r="J67">
        <v>0.95689999999999997</v>
      </c>
    </row>
    <row r="68" spans="1:11" hidden="1" x14ac:dyDescent="0.2">
      <c r="A68" s="19" t="s">
        <v>27</v>
      </c>
      <c r="B68" s="39" t="s">
        <v>76</v>
      </c>
      <c r="C68" s="22" t="s">
        <v>46</v>
      </c>
      <c r="D68" s="20" t="s">
        <v>58</v>
      </c>
      <c r="E68" s="20">
        <v>1.0152000000000001</v>
      </c>
      <c r="F68" s="20">
        <v>0.51439999999999997</v>
      </c>
      <c r="G68" s="20">
        <v>1.9730000000000001</v>
      </c>
      <c r="H68" s="20"/>
      <c r="I68" s="20"/>
      <c r="J68" s="20">
        <v>5.11E-2</v>
      </c>
      <c r="K68" s="20" t="s">
        <v>60</v>
      </c>
    </row>
    <row r="69" spans="1:11" hidden="1" x14ac:dyDescent="0.2">
      <c r="A69" s="19" t="s">
        <v>27</v>
      </c>
      <c r="B69" s="39" t="s">
        <v>76</v>
      </c>
      <c r="C69" s="22" t="s">
        <v>46</v>
      </c>
      <c r="D69" t="s">
        <v>55</v>
      </c>
      <c r="E69">
        <v>0.9304</v>
      </c>
      <c r="F69">
        <v>1.1062000000000001</v>
      </c>
      <c r="G69">
        <v>0.84099999999999997</v>
      </c>
      <c r="J69">
        <v>0.40229999999999999</v>
      </c>
    </row>
    <row r="70" spans="1:11" hidden="1" x14ac:dyDescent="0.2">
      <c r="A70" s="19" t="s">
        <v>27</v>
      </c>
      <c r="B70" s="39" t="s">
        <v>76</v>
      </c>
      <c r="C70" s="22" t="s">
        <v>46</v>
      </c>
      <c r="D70" t="s">
        <v>59</v>
      </c>
      <c r="E70">
        <v>0.22270000000000001</v>
      </c>
      <c r="F70">
        <v>2.1694</v>
      </c>
      <c r="G70">
        <v>0.10299999999999999</v>
      </c>
      <c r="J70">
        <v>0.91839999999999999</v>
      </c>
    </row>
    <row r="71" spans="1:11" hidden="1" x14ac:dyDescent="0.2">
      <c r="A71" s="19" t="s">
        <v>27</v>
      </c>
      <c r="B71" s="39" t="s">
        <v>76</v>
      </c>
      <c r="C71" s="22" t="s">
        <v>46</v>
      </c>
      <c r="D71" t="s">
        <v>57</v>
      </c>
      <c r="E71">
        <v>-2.3E-2</v>
      </c>
      <c r="F71">
        <v>0.99570000000000003</v>
      </c>
      <c r="G71">
        <v>-2.3E-2</v>
      </c>
      <c r="J71">
        <v>0.98160000000000003</v>
      </c>
    </row>
    <row r="72" spans="1:11" hidden="1" x14ac:dyDescent="0.2">
      <c r="A72" s="7" t="s">
        <v>8</v>
      </c>
      <c r="B72" s="37" t="s">
        <v>74</v>
      </c>
      <c r="C72" s="21" t="s">
        <v>45</v>
      </c>
      <c r="D72" t="s">
        <v>52</v>
      </c>
      <c r="E72">
        <v>0.66739999999999999</v>
      </c>
      <c r="F72">
        <v>0.56010000000000004</v>
      </c>
      <c r="G72">
        <v>1.1919999999999999</v>
      </c>
      <c r="J72">
        <v>0.23599999999999999</v>
      </c>
    </row>
    <row r="73" spans="1:11" hidden="1" x14ac:dyDescent="0.2">
      <c r="A73" s="7" t="s">
        <v>8</v>
      </c>
      <c r="B73" s="37" t="s">
        <v>74</v>
      </c>
      <c r="C73" s="22" t="s">
        <v>46</v>
      </c>
      <c r="D73" s="20" t="s">
        <v>53</v>
      </c>
      <c r="E73" s="20">
        <v>0.8236</v>
      </c>
      <c r="F73" s="20">
        <v>0.44679999999999997</v>
      </c>
      <c r="G73" s="20">
        <v>1.843</v>
      </c>
      <c r="H73" s="20"/>
      <c r="I73" s="20"/>
      <c r="J73" s="20">
        <v>6.8099999999999994E-2</v>
      </c>
      <c r="K73" s="20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9D8E-8C5E-794A-832F-31C330E5A680}">
  <dimension ref="A1:V97"/>
  <sheetViews>
    <sheetView zoomScale="160" zoomScaleNormal="160" workbookViewId="0">
      <selection activeCell="D99" sqref="D99"/>
    </sheetView>
  </sheetViews>
  <sheetFormatPr baseColWidth="10" defaultRowHeight="16" x14ac:dyDescent="0.2"/>
  <cols>
    <col min="5" max="5" width="26.5" customWidth="1"/>
  </cols>
  <sheetData>
    <row r="1" spans="1:22" x14ac:dyDescent="0.2">
      <c r="A1" s="32" t="s">
        <v>36</v>
      </c>
      <c r="B1" t="s">
        <v>69</v>
      </c>
      <c r="C1" s="32" t="s">
        <v>37</v>
      </c>
      <c r="D1" s="32" t="s">
        <v>63</v>
      </c>
      <c r="E1" s="32" t="s">
        <v>38</v>
      </c>
      <c r="F1" s="32" t="s">
        <v>39</v>
      </c>
      <c r="G1" s="32" t="s">
        <v>40</v>
      </c>
      <c r="H1" s="32" t="s">
        <v>41</v>
      </c>
      <c r="I1" s="32" t="s">
        <v>236</v>
      </c>
      <c r="J1" s="32" t="s">
        <v>237</v>
      </c>
      <c r="K1" s="32" t="s">
        <v>6</v>
      </c>
      <c r="L1" s="33" t="s">
        <v>62</v>
      </c>
    </row>
    <row r="2" spans="1:22" s="42" customFormat="1" hidden="1" x14ac:dyDescent="0.2">
      <c r="A2" s="110" t="s">
        <v>15</v>
      </c>
      <c r="B2" s="73" t="s">
        <v>74</v>
      </c>
      <c r="C2" s="48" t="s">
        <v>45</v>
      </c>
      <c r="D2" s="42" t="s">
        <v>66</v>
      </c>
      <c r="E2" s="42" t="s">
        <v>83</v>
      </c>
      <c r="F2" s="42">
        <v>1.1888000000000001</v>
      </c>
      <c r="G2" s="42">
        <v>0.88719999999999999</v>
      </c>
      <c r="H2" s="42">
        <v>1.34</v>
      </c>
      <c r="I2" s="42">
        <v>-0.57021580000000005</v>
      </c>
      <c r="J2" s="42">
        <v>2.9479058999999999</v>
      </c>
      <c r="K2" s="42">
        <v>0.183</v>
      </c>
      <c r="L2" s="69"/>
    </row>
    <row r="3" spans="1:22" hidden="1" x14ac:dyDescent="0.2">
      <c r="A3" s="111" t="s">
        <v>15</v>
      </c>
      <c r="B3" s="74" t="s">
        <v>74</v>
      </c>
      <c r="C3" s="75" t="s">
        <v>45</v>
      </c>
      <c r="D3" s="25" t="s">
        <v>64</v>
      </c>
      <c r="E3" s="25" t="s">
        <v>243</v>
      </c>
      <c r="F3" s="26">
        <v>0.67079999999999995</v>
      </c>
      <c r="G3" s="26">
        <v>1.4757</v>
      </c>
      <c r="H3" s="26">
        <v>0.45500000000000002</v>
      </c>
      <c r="I3" s="26">
        <v>-2.2709058999999998</v>
      </c>
      <c r="J3" s="26">
        <v>3.6125148</v>
      </c>
      <c r="K3" s="26">
        <v>0.65100000000000002</v>
      </c>
      <c r="L3" s="26"/>
    </row>
    <row r="4" spans="1:22" hidden="1" x14ac:dyDescent="0.2">
      <c r="A4" s="111" t="s">
        <v>15</v>
      </c>
      <c r="B4" s="74" t="s">
        <v>74</v>
      </c>
      <c r="C4" s="75" t="s">
        <v>45</v>
      </c>
      <c r="D4" s="25" t="s">
        <v>65</v>
      </c>
      <c r="E4" s="25" t="s">
        <v>244</v>
      </c>
      <c r="F4" s="26">
        <v>1.2819</v>
      </c>
      <c r="G4" s="26">
        <v>0.98880000000000001</v>
      </c>
      <c r="H4" s="26">
        <v>1.296</v>
      </c>
      <c r="I4" s="26">
        <v>-0.73466810000000005</v>
      </c>
      <c r="J4" s="26">
        <v>3.2985180000000001</v>
      </c>
      <c r="K4" s="26">
        <v>0.20399999999999999</v>
      </c>
      <c r="L4" s="26"/>
    </row>
    <row r="5" spans="1:22" s="42" customFormat="1" hidden="1" x14ac:dyDescent="0.2">
      <c r="A5" s="110" t="s">
        <v>15</v>
      </c>
      <c r="B5" s="73" t="s">
        <v>74</v>
      </c>
      <c r="C5" s="85" t="s">
        <v>46</v>
      </c>
      <c r="D5" s="78" t="s">
        <v>66</v>
      </c>
      <c r="E5" s="78" t="s">
        <v>83</v>
      </c>
      <c r="F5" s="78">
        <v>0.85399999999999998</v>
      </c>
      <c r="G5" s="78">
        <v>0.71550000000000002</v>
      </c>
      <c r="H5" s="78">
        <v>1.194</v>
      </c>
      <c r="I5" s="78">
        <v>-0.56473899999999999</v>
      </c>
      <c r="J5" s="78">
        <v>2.272783</v>
      </c>
      <c r="K5" s="42">
        <v>0.23499999999999999</v>
      </c>
      <c r="L5" s="69"/>
    </row>
    <row r="6" spans="1:22" hidden="1" x14ac:dyDescent="0.2">
      <c r="A6" s="111" t="s">
        <v>15</v>
      </c>
      <c r="B6" s="74" t="s">
        <v>74</v>
      </c>
      <c r="C6" s="87" t="s">
        <v>46</v>
      </c>
      <c r="D6" s="25" t="s">
        <v>64</v>
      </c>
      <c r="E6" s="25" t="s">
        <v>245</v>
      </c>
      <c r="F6" s="26">
        <v>0.21329999999999999</v>
      </c>
      <c r="G6" s="26">
        <v>1.2070000000000001</v>
      </c>
      <c r="H6" s="26">
        <v>0.17699999999999999</v>
      </c>
      <c r="I6" s="26">
        <v>-2.1928491999999999</v>
      </c>
      <c r="J6" s="26">
        <v>2.6193982</v>
      </c>
      <c r="K6" s="26">
        <v>0.86</v>
      </c>
      <c r="L6" s="26"/>
    </row>
    <row r="7" spans="1:22" hidden="1" x14ac:dyDescent="0.2">
      <c r="A7" s="111" t="s">
        <v>15</v>
      </c>
      <c r="B7" s="74" t="s">
        <v>74</v>
      </c>
      <c r="C7" s="87" t="s">
        <v>46</v>
      </c>
      <c r="D7" s="25" t="s">
        <v>65</v>
      </c>
      <c r="E7" s="25" t="s">
        <v>244</v>
      </c>
      <c r="F7" s="26">
        <v>0.92349999999999999</v>
      </c>
      <c r="G7" s="26">
        <v>0.71230000000000004</v>
      </c>
      <c r="H7" s="26">
        <v>1.296</v>
      </c>
      <c r="I7" s="26">
        <v>-0.52925889999999998</v>
      </c>
      <c r="J7" s="26">
        <v>2.3762470000000002</v>
      </c>
      <c r="K7" s="26">
        <v>0.20399999999999999</v>
      </c>
      <c r="L7" s="26"/>
    </row>
    <row r="8" spans="1:22" s="69" customFormat="1" x14ac:dyDescent="0.2">
      <c r="A8" s="84" t="s">
        <v>225</v>
      </c>
      <c r="B8" s="73" t="s">
        <v>74</v>
      </c>
      <c r="C8" s="48" t="s">
        <v>45</v>
      </c>
      <c r="D8" s="100" t="s">
        <v>66</v>
      </c>
      <c r="E8" s="43" t="s">
        <v>224</v>
      </c>
      <c r="F8" s="43">
        <v>1.2432000000000001</v>
      </c>
      <c r="G8" s="43">
        <v>0.51049999999999995</v>
      </c>
      <c r="H8" s="43">
        <v>2.4350000000000001</v>
      </c>
      <c r="I8" s="43">
        <v>0.2309445</v>
      </c>
      <c r="J8" s="43">
        <v>2.2554756</v>
      </c>
      <c r="K8" s="43">
        <v>1.66E-2</v>
      </c>
      <c r="L8" s="43" t="s">
        <v>61</v>
      </c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s="26" customFormat="1" x14ac:dyDescent="0.2">
      <c r="A9" s="86" t="s">
        <v>225</v>
      </c>
      <c r="B9" s="74" t="s">
        <v>74</v>
      </c>
      <c r="C9" s="75" t="s">
        <v>45</v>
      </c>
      <c r="D9" s="76" t="s">
        <v>64</v>
      </c>
      <c r="E9" s="26" t="s">
        <v>224</v>
      </c>
      <c r="F9" s="26">
        <v>1.0988</v>
      </c>
      <c r="G9" s="26">
        <v>0.68200000000000005</v>
      </c>
      <c r="H9" s="26">
        <v>1.611</v>
      </c>
      <c r="I9" s="26">
        <v>-0.26070670000000001</v>
      </c>
      <c r="J9" s="26">
        <v>2.4582929999999998</v>
      </c>
      <c r="K9" s="26">
        <v>0.112</v>
      </c>
      <c r="L9" s="90"/>
      <c r="M9" s="77"/>
      <c r="N9" s="77"/>
      <c r="O9" s="77"/>
      <c r="P9" s="77"/>
      <c r="Q9" s="77"/>
      <c r="R9" s="77"/>
      <c r="S9" s="77"/>
      <c r="T9" s="77"/>
      <c r="U9" s="77"/>
      <c r="V9" s="77"/>
    </row>
    <row r="10" spans="1:22" s="77" customFormat="1" x14ac:dyDescent="0.2">
      <c r="A10" s="86" t="s">
        <v>225</v>
      </c>
      <c r="B10" s="74" t="s">
        <v>74</v>
      </c>
      <c r="C10" s="75" t="s">
        <v>45</v>
      </c>
      <c r="D10" s="98" t="s">
        <v>65</v>
      </c>
      <c r="E10" s="99" t="s">
        <v>224</v>
      </c>
      <c r="F10" s="99">
        <v>1.3007</v>
      </c>
      <c r="G10" s="99">
        <v>0.76659999999999995</v>
      </c>
      <c r="H10" s="99">
        <v>1.6970000000000001</v>
      </c>
      <c r="I10" s="99">
        <v>-0.262656</v>
      </c>
      <c r="J10" s="99">
        <v>2.8641321</v>
      </c>
      <c r="K10" s="99">
        <v>9.9699999999999997E-2</v>
      </c>
      <c r="L10" s="180" t="s">
        <v>200</v>
      </c>
    </row>
    <row r="11" spans="1:22" s="42" customFormat="1" x14ac:dyDescent="0.2">
      <c r="A11" s="84" t="s">
        <v>225</v>
      </c>
      <c r="B11" s="73" t="s">
        <v>74</v>
      </c>
      <c r="C11" s="85" t="s">
        <v>46</v>
      </c>
      <c r="D11" s="28" t="s">
        <v>66</v>
      </c>
      <c r="E11" s="69" t="s">
        <v>224</v>
      </c>
      <c r="F11" s="69">
        <v>0.3493</v>
      </c>
      <c r="G11" s="69">
        <v>0.42109999999999997</v>
      </c>
      <c r="H11" s="69">
        <v>0.83</v>
      </c>
      <c r="I11" s="69">
        <v>-0.48564990000000002</v>
      </c>
      <c r="J11" s="69">
        <v>1.1843188</v>
      </c>
      <c r="K11" s="69">
        <v>0.40899999999999997</v>
      </c>
      <c r="L11" s="69"/>
    </row>
    <row r="12" spans="1:22" s="77" customFormat="1" x14ac:dyDescent="0.2">
      <c r="A12" s="86" t="s">
        <v>225</v>
      </c>
      <c r="B12" s="74" t="s">
        <v>74</v>
      </c>
      <c r="C12" s="87" t="s">
        <v>46</v>
      </c>
      <c r="D12" s="76" t="s">
        <v>64</v>
      </c>
      <c r="E12" s="26" t="s">
        <v>238</v>
      </c>
      <c r="F12" s="26">
        <v>-0.19919999999999999</v>
      </c>
      <c r="G12" s="26">
        <v>0.56659999999999999</v>
      </c>
      <c r="H12" s="26">
        <v>-0.35199999999999998</v>
      </c>
      <c r="I12" s="26">
        <v>-1.3287454999999999</v>
      </c>
      <c r="J12" s="26">
        <v>0.93026209999999998</v>
      </c>
      <c r="K12" s="26">
        <v>0.72599999999999998</v>
      </c>
      <c r="L12" s="90"/>
    </row>
    <row r="13" spans="1:22" s="77" customFormat="1" x14ac:dyDescent="0.2">
      <c r="A13" s="86" t="s">
        <v>225</v>
      </c>
      <c r="B13" s="74" t="s">
        <v>74</v>
      </c>
      <c r="C13" s="87" t="s">
        <v>46</v>
      </c>
      <c r="D13" s="98" t="s">
        <v>65</v>
      </c>
      <c r="E13" s="99" t="s">
        <v>238</v>
      </c>
      <c r="F13" s="99">
        <v>1.02678</v>
      </c>
      <c r="G13" s="99">
        <v>0.54705000000000004</v>
      </c>
      <c r="H13" s="99">
        <v>1.877</v>
      </c>
      <c r="I13" s="99">
        <v>-8.8945949999999996E-2</v>
      </c>
      <c r="J13" s="99">
        <v>2.1424995999999998</v>
      </c>
      <c r="K13" s="99">
        <v>7.0000000000000007E-2</v>
      </c>
      <c r="L13" s="180" t="s">
        <v>200</v>
      </c>
    </row>
    <row r="14" spans="1:22" s="42" customFormat="1" hidden="1" x14ac:dyDescent="0.2">
      <c r="A14" s="88" t="s">
        <v>23</v>
      </c>
      <c r="B14" s="73" t="s">
        <v>74</v>
      </c>
      <c r="C14" s="48" t="s">
        <v>45</v>
      </c>
      <c r="D14" s="28" t="s">
        <v>66</v>
      </c>
      <c r="E14" s="69" t="s">
        <v>82</v>
      </c>
      <c r="F14" s="69">
        <v>1.47</v>
      </c>
      <c r="G14" s="69">
        <v>1.123</v>
      </c>
      <c r="H14" s="69">
        <v>1.3089999999999999</v>
      </c>
      <c r="I14" s="69">
        <v>-0.75665859999999996</v>
      </c>
      <c r="J14" s="69">
        <v>3.6960899</v>
      </c>
      <c r="K14" s="69">
        <v>0.193</v>
      </c>
      <c r="L14" s="69"/>
    </row>
    <row r="15" spans="1:22" s="77" customFormat="1" hidden="1" x14ac:dyDescent="0.2">
      <c r="A15" s="101" t="s">
        <v>23</v>
      </c>
      <c r="B15" s="74" t="s">
        <v>74</v>
      </c>
      <c r="C15" s="75" t="s">
        <v>45</v>
      </c>
      <c r="D15" s="76" t="s">
        <v>64</v>
      </c>
      <c r="E15" s="25" t="s">
        <v>239</v>
      </c>
      <c r="F15" s="26">
        <v>2.0879999999999999E-2</v>
      </c>
      <c r="G15" s="26">
        <v>2.8942199999999998</v>
      </c>
      <c r="H15" s="26">
        <v>7.0000000000000001E-3</v>
      </c>
      <c r="I15" s="26">
        <v>-5.7486413000000001</v>
      </c>
      <c r="J15" s="26">
        <v>5.7903978</v>
      </c>
      <c r="K15" s="26">
        <v>0.99399999999999999</v>
      </c>
      <c r="L15" s="90"/>
    </row>
    <row r="16" spans="1:22" s="77" customFormat="1" hidden="1" x14ac:dyDescent="0.2">
      <c r="A16" s="101" t="s">
        <v>23</v>
      </c>
      <c r="B16" s="74" t="s">
        <v>74</v>
      </c>
      <c r="C16" s="75" t="s">
        <v>45</v>
      </c>
      <c r="D16" s="76" t="s">
        <v>65</v>
      </c>
      <c r="E16" s="25" t="s">
        <v>240</v>
      </c>
      <c r="F16" s="26">
        <v>1.4617</v>
      </c>
      <c r="G16" s="26">
        <v>1.06</v>
      </c>
      <c r="H16" s="26">
        <v>1.379</v>
      </c>
      <c r="I16" s="26">
        <v>-0.70027850000000003</v>
      </c>
      <c r="J16" s="26">
        <v>3.6236820000000001</v>
      </c>
      <c r="K16" s="26">
        <v>0.17799999999999999</v>
      </c>
      <c r="L16" s="90"/>
    </row>
    <row r="17" spans="1:22" s="42" customFormat="1" hidden="1" x14ac:dyDescent="0.2">
      <c r="A17" s="88" t="s">
        <v>23</v>
      </c>
      <c r="B17" s="73" t="s">
        <v>74</v>
      </c>
      <c r="C17" s="85" t="s">
        <v>46</v>
      </c>
      <c r="D17" s="28" t="s">
        <v>66</v>
      </c>
      <c r="E17" s="69" t="s">
        <v>82</v>
      </c>
      <c r="F17" s="69">
        <v>0.71799999999999997</v>
      </c>
      <c r="G17" s="69">
        <v>0.90869999999999995</v>
      </c>
      <c r="H17" s="69">
        <v>0.79</v>
      </c>
      <c r="I17" s="69">
        <v>-1.0837154</v>
      </c>
      <c r="J17" s="69">
        <v>2.5198098</v>
      </c>
      <c r="K17" s="69">
        <v>0.43099999999999999</v>
      </c>
      <c r="L17" s="69"/>
    </row>
    <row r="18" spans="1:22" s="77" customFormat="1" hidden="1" x14ac:dyDescent="0.2">
      <c r="A18" s="101" t="s">
        <v>23</v>
      </c>
      <c r="B18" s="74" t="s">
        <v>74</v>
      </c>
      <c r="C18" s="87" t="s">
        <v>46</v>
      </c>
      <c r="D18" s="76" t="s">
        <v>64</v>
      </c>
      <c r="E18" s="25" t="s">
        <v>239</v>
      </c>
      <c r="F18" s="26">
        <v>-1.498</v>
      </c>
      <c r="G18" s="26">
        <v>2.3578000000000001</v>
      </c>
      <c r="H18" s="26">
        <v>-0.63500000000000001</v>
      </c>
      <c r="I18" s="26">
        <v>-6.1982290999999998</v>
      </c>
      <c r="J18" s="26">
        <v>3.2021557</v>
      </c>
      <c r="K18" s="26">
        <v>0.52700000000000002</v>
      </c>
      <c r="L18" s="90"/>
    </row>
    <row r="19" spans="1:22" s="77" customFormat="1" hidden="1" x14ac:dyDescent="0.2">
      <c r="A19" s="101" t="s">
        <v>23</v>
      </c>
      <c r="B19" s="74" t="s">
        <v>74</v>
      </c>
      <c r="C19" s="87" t="s">
        <v>46</v>
      </c>
      <c r="D19" s="76" t="s">
        <v>65</v>
      </c>
      <c r="E19" s="102" t="s">
        <v>239</v>
      </c>
      <c r="F19" s="92">
        <v>0.69550000000000001</v>
      </c>
      <c r="G19" s="92">
        <v>0.77669999999999995</v>
      </c>
      <c r="H19" s="92">
        <v>0.89500000000000002</v>
      </c>
      <c r="I19" s="92">
        <v>-0.88871710000000004</v>
      </c>
      <c r="J19" s="92">
        <v>2.2796620000000001</v>
      </c>
      <c r="K19" s="92">
        <v>0.377</v>
      </c>
      <c r="L19" s="90"/>
    </row>
    <row r="20" spans="1:22" s="42" customFormat="1" x14ac:dyDescent="0.2">
      <c r="A20" s="112" t="s">
        <v>226</v>
      </c>
      <c r="B20" s="73" t="s">
        <v>74</v>
      </c>
      <c r="C20" s="48" t="s">
        <v>45</v>
      </c>
      <c r="D20" s="28" t="s">
        <v>66</v>
      </c>
      <c r="E20" s="69" t="s">
        <v>227</v>
      </c>
      <c r="F20" s="42">
        <v>0.61670000000000003</v>
      </c>
      <c r="G20" s="42">
        <v>0.58940000000000003</v>
      </c>
      <c r="H20" s="42">
        <v>1.046</v>
      </c>
      <c r="I20" s="42">
        <v>-0.55204019999999998</v>
      </c>
      <c r="J20" s="42">
        <v>1.7853680999999999</v>
      </c>
      <c r="K20" s="42">
        <v>0.29799999999999999</v>
      </c>
      <c r="L20" s="91"/>
    </row>
    <row r="21" spans="1:22" s="77" customFormat="1" x14ac:dyDescent="0.2">
      <c r="A21" s="156" t="s">
        <v>226</v>
      </c>
      <c r="B21" s="74" t="s">
        <v>74</v>
      </c>
      <c r="C21" s="75" t="s">
        <v>45</v>
      </c>
      <c r="D21" s="76" t="s">
        <v>64</v>
      </c>
      <c r="E21" s="26" t="s">
        <v>246</v>
      </c>
      <c r="F21" s="26">
        <v>-9.0260000000000007E-2</v>
      </c>
      <c r="G21" s="26">
        <v>0.85314000000000001</v>
      </c>
      <c r="H21" s="26">
        <v>-0.106</v>
      </c>
      <c r="I21" s="26">
        <v>-1.7909619000000001</v>
      </c>
      <c r="J21" s="26">
        <v>1.610439</v>
      </c>
      <c r="K21" s="26">
        <v>0.91600000000000004</v>
      </c>
      <c r="L21" s="90"/>
    </row>
    <row r="22" spans="1:22" s="77" customFormat="1" x14ac:dyDescent="0.2">
      <c r="A22" s="156" t="s">
        <v>226</v>
      </c>
      <c r="B22" s="74" t="s">
        <v>74</v>
      </c>
      <c r="C22" s="75" t="s">
        <v>45</v>
      </c>
      <c r="D22" s="76" t="s">
        <v>65</v>
      </c>
      <c r="E22" s="77" t="s">
        <v>246</v>
      </c>
      <c r="F22" s="26">
        <v>1.26448</v>
      </c>
      <c r="G22" s="26">
        <v>0.75902000000000003</v>
      </c>
      <c r="H22" s="26">
        <v>1.6659999999999999</v>
      </c>
      <c r="I22" s="26">
        <v>-0.28356170000000003</v>
      </c>
      <c r="J22" s="26">
        <v>2.8125187999999999</v>
      </c>
      <c r="K22" s="26">
        <v>0.106</v>
      </c>
      <c r="L22" s="90"/>
    </row>
    <row r="23" spans="1:22" s="42" customFormat="1" x14ac:dyDescent="0.2">
      <c r="A23" s="112" t="s">
        <v>226</v>
      </c>
      <c r="B23" s="73" t="s">
        <v>74</v>
      </c>
      <c r="C23" s="85" t="s">
        <v>46</v>
      </c>
      <c r="D23" s="28" t="s">
        <v>66</v>
      </c>
      <c r="E23" s="69" t="s">
        <v>227</v>
      </c>
      <c r="F23" s="42">
        <v>0.49259999999999998</v>
      </c>
      <c r="G23" s="42">
        <v>0.47460000000000002</v>
      </c>
      <c r="H23" s="42">
        <v>1.038</v>
      </c>
      <c r="I23" s="42">
        <v>-0.44843100000000002</v>
      </c>
      <c r="J23" s="42">
        <v>1.4336666</v>
      </c>
      <c r="K23" s="42">
        <v>0.30199999999999999</v>
      </c>
      <c r="L23" s="91"/>
    </row>
    <row r="24" spans="1:22" s="77" customFormat="1" x14ac:dyDescent="0.2">
      <c r="A24" s="156" t="s">
        <v>226</v>
      </c>
      <c r="B24" s="74" t="s">
        <v>74</v>
      </c>
      <c r="C24" s="87" t="s">
        <v>46</v>
      </c>
      <c r="D24" s="76" t="s">
        <v>64</v>
      </c>
      <c r="E24" s="26" t="s">
        <v>246</v>
      </c>
      <c r="F24" s="26">
        <v>-0.3231</v>
      </c>
      <c r="G24" s="26">
        <v>0.69599999999999995</v>
      </c>
      <c r="H24" s="26">
        <v>-0.46400000000000002</v>
      </c>
      <c r="I24" s="26">
        <v>-1.7105185000000001</v>
      </c>
      <c r="J24" s="26">
        <v>1.0642859</v>
      </c>
      <c r="K24" s="26">
        <v>0.64400000000000002</v>
      </c>
      <c r="L24" s="90"/>
    </row>
    <row r="25" spans="1:22" s="77" customFormat="1" x14ac:dyDescent="0.2">
      <c r="A25" s="156" t="s">
        <v>226</v>
      </c>
      <c r="B25" s="74" t="s">
        <v>74</v>
      </c>
      <c r="C25" s="87" t="s">
        <v>46</v>
      </c>
      <c r="D25" s="109" t="s">
        <v>65</v>
      </c>
      <c r="E25" s="94" t="s">
        <v>246</v>
      </c>
      <c r="F25" s="94">
        <v>1.17031</v>
      </c>
      <c r="G25" s="94">
        <v>0.53064</v>
      </c>
      <c r="H25" s="94">
        <v>2.2050000000000001</v>
      </c>
      <c r="I25" s="94">
        <v>8.8061299999999995E-2</v>
      </c>
      <c r="J25" s="94">
        <v>2.252551</v>
      </c>
      <c r="K25" s="94">
        <v>3.5000000000000003E-2</v>
      </c>
      <c r="L25" s="95" t="s">
        <v>61</v>
      </c>
    </row>
    <row r="26" spans="1:22" s="42" customFormat="1" hidden="1" x14ac:dyDescent="0.2">
      <c r="A26" s="167" t="s">
        <v>260</v>
      </c>
      <c r="B26" s="89" t="s">
        <v>259</v>
      </c>
      <c r="C26" s="48" t="s">
        <v>45</v>
      </c>
      <c r="D26" s="104" t="s">
        <v>66</v>
      </c>
      <c r="E26" s="49" t="s">
        <v>266</v>
      </c>
      <c r="F26" s="49">
        <v>-0.30259999999999998</v>
      </c>
      <c r="G26" s="49">
        <v>0.1595</v>
      </c>
      <c r="H26" s="49">
        <v>-1.897</v>
      </c>
      <c r="I26" s="49">
        <v>-0.61892250000000004</v>
      </c>
      <c r="J26" s="49">
        <v>1.3687110000000001E-2</v>
      </c>
      <c r="K26" s="49">
        <v>6.0600000000000001E-2</v>
      </c>
      <c r="L26" s="41" t="s">
        <v>200</v>
      </c>
    </row>
    <row r="27" spans="1:22" s="25" customFormat="1" hidden="1" x14ac:dyDescent="0.2">
      <c r="A27" s="172" t="s">
        <v>260</v>
      </c>
      <c r="B27" s="143" t="s">
        <v>259</v>
      </c>
      <c r="C27" s="75" t="s">
        <v>45</v>
      </c>
      <c r="D27" s="76" t="s">
        <v>64</v>
      </c>
      <c r="E27" s="76" t="s">
        <v>269</v>
      </c>
      <c r="F27" s="76">
        <v>-0.1696</v>
      </c>
      <c r="G27" s="76">
        <v>0.2303</v>
      </c>
      <c r="H27" s="76">
        <v>-0.73599999999999999</v>
      </c>
      <c r="I27" s="76">
        <v>-0.62864299999999995</v>
      </c>
      <c r="J27" s="76">
        <v>0.28946499999999997</v>
      </c>
      <c r="K27" s="76">
        <v>0.46400000000000002</v>
      </c>
      <c r="L27" s="181"/>
      <c r="M27"/>
      <c r="N27"/>
      <c r="O27"/>
      <c r="P27"/>
      <c r="Q27"/>
      <c r="R27"/>
      <c r="S27"/>
      <c r="T27"/>
      <c r="U27"/>
      <c r="V27"/>
    </row>
    <row r="28" spans="1:22" hidden="1" x14ac:dyDescent="0.2">
      <c r="A28" s="172" t="s">
        <v>260</v>
      </c>
      <c r="B28" s="143" t="s">
        <v>259</v>
      </c>
      <c r="C28" s="75" t="s">
        <v>45</v>
      </c>
      <c r="D28" s="98" t="s">
        <v>65</v>
      </c>
      <c r="E28" s="153" t="s">
        <v>269</v>
      </c>
      <c r="F28" s="153">
        <v>-0.43180000000000002</v>
      </c>
      <c r="G28" s="153">
        <v>0.21829999999999999</v>
      </c>
      <c r="H28" s="153">
        <v>-1.978</v>
      </c>
      <c r="I28" s="153">
        <v>-0.87714490000000001</v>
      </c>
      <c r="J28" s="153">
        <v>1.3460959999999999E-2</v>
      </c>
      <c r="K28" s="153">
        <v>5.6899999999999999E-2</v>
      </c>
      <c r="L28" s="182" t="s">
        <v>200</v>
      </c>
    </row>
    <row r="29" spans="1:22" s="42" customFormat="1" hidden="1" x14ac:dyDescent="0.2">
      <c r="A29" s="167" t="s">
        <v>260</v>
      </c>
      <c r="B29" s="89" t="s">
        <v>259</v>
      </c>
      <c r="C29" s="168" t="s">
        <v>46</v>
      </c>
      <c r="D29" s="28" t="s">
        <v>66</v>
      </c>
      <c r="E29" s="78" t="s">
        <v>266</v>
      </c>
      <c r="F29" s="78">
        <v>-0.17030000000000001</v>
      </c>
      <c r="G29" s="78">
        <v>0.12959999999999999</v>
      </c>
      <c r="H29" s="78">
        <v>-1.3140000000000001</v>
      </c>
      <c r="I29" s="78">
        <v>-0.42719430000000003</v>
      </c>
      <c r="J29" s="78">
        <v>8.6590819999999999E-2</v>
      </c>
      <c r="K29" s="78">
        <v>0.192</v>
      </c>
    </row>
    <row r="30" spans="1:22" hidden="1" x14ac:dyDescent="0.2">
      <c r="A30" s="172" t="s">
        <v>260</v>
      </c>
      <c r="B30" s="143" t="s">
        <v>259</v>
      </c>
      <c r="C30" s="173" t="s">
        <v>46</v>
      </c>
      <c r="D30" s="76" t="s">
        <v>64</v>
      </c>
      <c r="E30" s="76" t="s">
        <v>260</v>
      </c>
      <c r="F30" s="76">
        <v>4.9149999999999999E-2</v>
      </c>
      <c r="G30" s="76">
        <v>0.18873999999999999</v>
      </c>
      <c r="H30" s="76">
        <v>0.26</v>
      </c>
      <c r="I30" s="76">
        <v>-0.32710020000000001</v>
      </c>
      <c r="J30" s="76">
        <v>0.4254038</v>
      </c>
      <c r="K30" s="76">
        <v>0.79500000000000004</v>
      </c>
      <c r="L30" s="181"/>
    </row>
    <row r="31" spans="1:22" hidden="1" x14ac:dyDescent="0.2">
      <c r="A31" s="172" t="s">
        <v>260</v>
      </c>
      <c r="B31" s="143" t="s">
        <v>259</v>
      </c>
      <c r="C31" s="173" t="s">
        <v>46</v>
      </c>
      <c r="D31" s="109" t="s">
        <v>65</v>
      </c>
      <c r="E31" s="149" t="s">
        <v>269</v>
      </c>
      <c r="F31" s="149">
        <v>-0.36270000000000002</v>
      </c>
      <c r="G31" s="149">
        <v>0.1537</v>
      </c>
      <c r="H31" s="149">
        <v>-2.36</v>
      </c>
      <c r="I31" s="149">
        <f>-0.6761483</f>
        <v>-0.67614830000000004</v>
      </c>
      <c r="J31" s="149">
        <v>-4.9270630000000003E-2</v>
      </c>
      <c r="K31" s="149">
        <v>2.4740000000000002E-2</v>
      </c>
      <c r="L31" s="183" t="s">
        <v>61</v>
      </c>
    </row>
    <row r="32" spans="1:22" s="42" customFormat="1" hidden="1" x14ac:dyDescent="0.2">
      <c r="A32" s="169" t="s">
        <v>261</v>
      </c>
      <c r="B32" s="73" t="s">
        <v>74</v>
      </c>
      <c r="C32" s="48" t="s">
        <v>45</v>
      </c>
      <c r="D32" s="28" t="s">
        <v>66</v>
      </c>
      <c r="E32" s="78" t="s">
        <v>267</v>
      </c>
      <c r="F32" s="78">
        <v>0.73080000000000001</v>
      </c>
      <c r="G32" s="78">
        <v>0.51990000000000003</v>
      </c>
      <c r="H32" s="78">
        <v>1.4059999999999999</v>
      </c>
      <c r="I32" s="78">
        <v>-0.30000470000000001</v>
      </c>
      <c r="J32" s="78">
        <v>1.7616020999999999</v>
      </c>
      <c r="K32" s="78">
        <v>0.16300000000000001</v>
      </c>
    </row>
    <row r="33" spans="1:12" hidden="1" x14ac:dyDescent="0.2">
      <c r="A33" s="174" t="s">
        <v>261</v>
      </c>
      <c r="B33" s="74" t="s">
        <v>74</v>
      </c>
      <c r="C33" s="75" t="s">
        <v>45</v>
      </c>
      <c r="D33" s="76" t="s">
        <v>64</v>
      </c>
      <c r="E33" s="76" t="s">
        <v>270</v>
      </c>
      <c r="F33" s="76">
        <v>0.31130000000000002</v>
      </c>
      <c r="G33" s="76">
        <v>0.69320000000000004</v>
      </c>
      <c r="H33" s="76">
        <v>0.44900000000000001</v>
      </c>
      <c r="I33" s="76">
        <v>-1.07057</v>
      </c>
      <c r="J33" s="76">
        <v>1.6931436</v>
      </c>
      <c r="K33" s="76">
        <v>0.65500000000000003</v>
      </c>
      <c r="L33" s="181"/>
    </row>
    <row r="34" spans="1:12" hidden="1" x14ac:dyDescent="0.2">
      <c r="A34" s="174" t="s">
        <v>261</v>
      </c>
      <c r="B34" s="74" t="s">
        <v>74</v>
      </c>
      <c r="C34" s="75" t="s">
        <v>45</v>
      </c>
      <c r="D34" s="98" t="s">
        <v>65</v>
      </c>
      <c r="E34" s="106" t="s">
        <v>270</v>
      </c>
      <c r="F34" s="106">
        <v>1.3007</v>
      </c>
      <c r="G34" s="106">
        <v>0.76659999999999995</v>
      </c>
      <c r="H34" s="106">
        <v>1.6970000000000001</v>
      </c>
      <c r="I34" s="106">
        <v>-0.262656</v>
      </c>
      <c r="J34" s="106">
        <v>2.8641321</v>
      </c>
      <c r="K34" s="106">
        <v>9.9699999999999997E-2</v>
      </c>
      <c r="L34" s="184" t="s">
        <v>200</v>
      </c>
    </row>
    <row r="35" spans="1:12" s="42" customFormat="1" hidden="1" x14ac:dyDescent="0.2">
      <c r="A35" s="169" t="s">
        <v>261</v>
      </c>
      <c r="B35" s="73" t="s">
        <v>74</v>
      </c>
      <c r="C35" s="85" t="s">
        <v>46</v>
      </c>
      <c r="D35" s="28" t="s">
        <v>66</v>
      </c>
      <c r="E35" s="78" t="s">
        <v>268</v>
      </c>
      <c r="F35" s="78">
        <v>8.2799999999999999E-2</v>
      </c>
      <c r="G35" s="78">
        <v>0.42241000000000001</v>
      </c>
      <c r="H35" s="78">
        <v>0.19600000000000001</v>
      </c>
      <c r="I35" s="78">
        <v>-0.75476509999999997</v>
      </c>
      <c r="J35" s="78">
        <v>0.92036059999999997</v>
      </c>
      <c r="K35" s="78">
        <v>0.84499999999999997</v>
      </c>
    </row>
    <row r="36" spans="1:12" hidden="1" x14ac:dyDescent="0.2">
      <c r="A36" s="174" t="s">
        <v>261</v>
      </c>
      <c r="B36" s="74" t="s">
        <v>74</v>
      </c>
      <c r="C36" s="87" t="s">
        <v>46</v>
      </c>
      <c r="D36" s="76" t="s">
        <v>64</v>
      </c>
      <c r="E36" s="92" t="s">
        <v>271</v>
      </c>
      <c r="F36" s="92">
        <v>-0.60887000000000002</v>
      </c>
      <c r="G36" s="92">
        <v>0.56252999999999997</v>
      </c>
      <c r="H36" s="92">
        <v>-1.0820000000000001</v>
      </c>
      <c r="I36" s="92">
        <v>-1.7302592000000001</v>
      </c>
      <c r="J36" s="92">
        <v>0.51251440000000004</v>
      </c>
      <c r="K36" s="92">
        <v>0.28299999999999997</v>
      </c>
      <c r="L36" s="96"/>
    </row>
    <row r="37" spans="1:12" hidden="1" x14ac:dyDescent="0.2">
      <c r="A37" s="174" t="s">
        <v>261</v>
      </c>
      <c r="B37" s="74" t="s">
        <v>74</v>
      </c>
      <c r="C37" s="87" t="s">
        <v>46</v>
      </c>
      <c r="D37" s="98" t="s">
        <v>65</v>
      </c>
      <c r="E37" s="98" t="s">
        <v>271</v>
      </c>
      <c r="F37" s="98">
        <v>1.02678</v>
      </c>
      <c r="G37" s="98">
        <v>0.54705000000000004</v>
      </c>
      <c r="H37" s="98">
        <v>1.877</v>
      </c>
      <c r="I37" s="98">
        <v>-8.8945949999999996E-2</v>
      </c>
      <c r="J37" s="98">
        <v>2.1424995999999998</v>
      </c>
      <c r="K37" s="98">
        <v>7.0000000000000007E-2</v>
      </c>
      <c r="L37" s="185" t="s">
        <v>200</v>
      </c>
    </row>
    <row r="38" spans="1:12" s="42" customFormat="1" hidden="1" x14ac:dyDescent="0.2">
      <c r="A38" s="197" t="s">
        <v>277</v>
      </c>
      <c r="B38" s="73" t="s">
        <v>74</v>
      </c>
      <c r="C38" s="48" t="s">
        <v>45</v>
      </c>
      <c r="D38" s="78" t="s">
        <v>66</v>
      </c>
      <c r="E38" s="78" t="s">
        <v>278</v>
      </c>
      <c r="F38" s="78">
        <v>0.79210000000000003</v>
      </c>
      <c r="G38" s="78">
        <v>0.59460000000000002</v>
      </c>
      <c r="H38" s="78">
        <v>1.3320000000000001</v>
      </c>
      <c r="I38" s="78">
        <v>-0.38679279999999999</v>
      </c>
      <c r="J38" s="78">
        <v>1.9710357999999999</v>
      </c>
      <c r="K38" s="78">
        <v>0.186</v>
      </c>
    </row>
    <row r="39" spans="1:12" hidden="1" x14ac:dyDescent="0.2">
      <c r="A39" s="195" t="s">
        <v>277</v>
      </c>
      <c r="B39" s="37" t="s">
        <v>74</v>
      </c>
      <c r="C39" s="75" t="s">
        <v>45</v>
      </c>
      <c r="D39" t="s">
        <v>64</v>
      </c>
      <c r="E39" t="s">
        <v>283</v>
      </c>
      <c r="F39">
        <v>0.57540000000000002</v>
      </c>
      <c r="G39">
        <v>0.71879999999999999</v>
      </c>
      <c r="H39">
        <v>0.8</v>
      </c>
      <c r="I39">
        <v>-0.8575412</v>
      </c>
      <c r="J39">
        <v>2.0083405000000001</v>
      </c>
      <c r="K39">
        <v>0.42599999999999999</v>
      </c>
    </row>
    <row r="40" spans="1:12" hidden="1" x14ac:dyDescent="0.2">
      <c r="A40" s="195" t="s">
        <v>277</v>
      </c>
      <c r="B40" s="37" t="s">
        <v>74</v>
      </c>
      <c r="C40" s="75" t="s">
        <v>45</v>
      </c>
      <c r="D40" s="18" t="s">
        <v>65</v>
      </c>
      <c r="E40" s="18" t="s">
        <v>283</v>
      </c>
      <c r="F40" s="76">
        <v>1.1327</v>
      </c>
      <c r="G40" s="76">
        <v>1.1823999999999999</v>
      </c>
      <c r="H40" s="76">
        <v>0.95799999999999996</v>
      </c>
      <c r="I40" s="76">
        <v>-1.278737</v>
      </c>
      <c r="J40" s="76">
        <v>3.5441539999999998</v>
      </c>
      <c r="K40" s="76">
        <v>0.34499999999999997</v>
      </c>
      <c r="L40" s="181"/>
    </row>
    <row r="41" spans="1:12" s="42" customFormat="1" hidden="1" x14ac:dyDescent="0.2">
      <c r="A41" s="197" t="s">
        <v>277</v>
      </c>
      <c r="B41" s="73" t="s">
        <v>74</v>
      </c>
      <c r="C41" s="85" t="s">
        <v>46</v>
      </c>
      <c r="D41" s="42" t="s">
        <v>66</v>
      </c>
      <c r="E41" s="42" t="s">
        <v>279</v>
      </c>
      <c r="F41" s="42">
        <v>4.2999999999999997E-2</v>
      </c>
      <c r="G41" s="42">
        <v>0.48271999999999998</v>
      </c>
      <c r="H41" s="42">
        <v>8.8999999999999996E-2</v>
      </c>
      <c r="I41" s="42">
        <v>-0.91415009999999997</v>
      </c>
      <c r="J41" s="42">
        <v>1.0001416000000001</v>
      </c>
      <c r="K41" s="42">
        <v>0.92900000000000005</v>
      </c>
    </row>
    <row r="42" spans="1:12" hidden="1" x14ac:dyDescent="0.2">
      <c r="A42" s="195" t="s">
        <v>277</v>
      </c>
      <c r="B42" s="37" t="s">
        <v>74</v>
      </c>
      <c r="C42" s="87" t="s">
        <v>46</v>
      </c>
      <c r="D42" s="18" t="s">
        <v>64</v>
      </c>
      <c r="E42" s="18" t="s">
        <v>284</v>
      </c>
      <c r="F42" s="76">
        <v>-0.49528</v>
      </c>
      <c r="G42" s="76">
        <v>0.58694000000000002</v>
      </c>
      <c r="H42" s="76">
        <v>-0.84399999999999997</v>
      </c>
      <c r="I42" s="76">
        <v>-1.6653357</v>
      </c>
      <c r="J42" s="76">
        <v>0.67476820000000004</v>
      </c>
      <c r="K42" s="76">
        <v>0.40200000000000002</v>
      </c>
      <c r="L42" s="181"/>
    </row>
    <row r="43" spans="1:12" hidden="1" x14ac:dyDescent="0.2">
      <c r="A43" s="195" t="s">
        <v>277</v>
      </c>
      <c r="B43" s="37" t="s">
        <v>74</v>
      </c>
      <c r="C43" s="87" t="s">
        <v>46</v>
      </c>
      <c r="D43" s="166" t="s">
        <v>65</v>
      </c>
      <c r="E43" s="166" t="s">
        <v>285</v>
      </c>
      <c r="F43" s="166">
        <v>1.4664999999999999</v>
      </c>
      <c r="G43" s="166">
        <v>0.82320000000000004</v>
      </c>
      <c r="H43" s="166">
        <v>1.782</v>
      </c>
      <c r="I43" s="166">
        <v>-0.21237329999999999</v>
      </c>
      <c r="J43" s="166">
        <v>3.1453929999999999</v>
      </c>
      <c r="K43" s="166">
        <v>8.4599999999999995E-2</v>
      </c>
      <c r="L43" s="170" t="s">
        <v>200</v>
      </c>
    </row>
    <row r="44" spans="1:12" hidden="1" x14ac:dyDescent="0.2">
      <c r="A44" s="60" t="s">
        <v>84</v>
      </c>
      <c r="B44" s="46" t="s">
        <v>76</v>
      </c>
      <c r="C44" s="27" t="s">
        <v>45</v>
      </c>
      <c r="D44" s="104" t="s">
        <v>66</v>
      </c>
      <c r="E44" s="41" t="s">
        <v>88</v>
      </c>
      <c r="F44" s="41">
        <v>1.6640999999999999</v>
      </c>
      <c r="G44" s="41">
        <v>0.84789999999999999</v>
      </c>
      <c r="H44" s="41">
        <v>-1.9630000000000001</v>
      </c>
      <c r="I44" s="41"/>
      <c r="J44" s="41"/>
      <c r="K44" s="41">
        <v>5.2400000000000002E-2</v>
      </c>
      <c r="L44" s="41" t="s">
        <v>60</v>
      </c>
    </row>
    <row r="45" spans="1:12" hidden="1" x14ac:dyDescent="0.2">
      <c r="A45" s="60" t="s">
        <v>84</v>
      </c>
      <c r="B45" s="46" t="s">
        <v>76</v>
      </c>
      <c r="C45" s="27" t="s">
        <v>45</v>
      </c>
      <c r="D45" s="28" t="s">
        <v>66</v>
      </c>
      <c r="E45" s="42" t="s">
        <v>89</v>
      </c>
      <c r="F45" s="42">
        <v>1.2608999999999999</v>
      </c>
      <c r="G45" s="42">
        <v>0.78390000000000004</v>
      </c>
      <c r="H45" s="42">
        <v>1.6080000000000001</v>
      </c>
      <c r="I45" s="42"/>
      <c r="J45" s="42"/>
      <c r="K45" s="42">
        <v>0.1108</v>
      </c>
      <c r="L45" s="42"/>
    </row>
    <row r="46" spans="1:12" hidden="1" x14ac:dyDescent="0.2">
      <c r="A46" s="60" t="s">
        <v>84</v>
      </c>
      <c r="B46" s="46" t="s">
        <v>76</v>
      </c>
      <c r="C46" s="27" t="s">
        <v>45</v>
      </c>
      <c r="D46" s="28" t="s">
        <v>66</v>
      </c>
      <c r="E46" s="43" t="s">
        <v>90</v>
      </c>
      <c r="F46" s="43">
        <v>1.3869</v>
      </c>
      <c r="G46" s="43">
        <v>0.66059999999999997</v>
      </c>
      <c r="H46" s="43">
        <v>2.0990000000000002</v>
      </c>
      <c r="I46" s="43"/>
      <c r="J46" s="43"/>
      <c r="K46" s="43">
        <v>3.8199999999999998E-2</v>
      </c>
      <c r="L46" s="43" t="s">
        <v>61</v>
      </c>
    </row>
    <row r="47" spans="1:12" hidden="1" x14ac:dyDescent="0.2">
      <c r="A47" s="61" t="s">
        <v>84</v>
      </c>
      <c r="B47" s="47" t="s">
        <v>76</v>
      </c>
      <c r="C47" s="24" t="s">
        <v>45</v>
      </c>
      <c r="D47" s="18" t="s">
        <v>64</v>
      </c>
      <c r="E47" t="s">
        <v>107</v>
      </c>
      <c r="F47">
        <v>1.8392999999999999</v>
      </c>
      <c r="G47">
        <v>1.1353</v>
      </c>
      <c r="H47">
        <v>1.62</v>
      </c>
      <c r="K47">
        <v>0.10970000000000001</v>
      </c>
    </row>
    <row r="48" spans="1:12" hidden="1" x14ac:dyDescent="0.2">
      <c r="A48" s="61" t="s">
        <v>84</v>
      </c>
      <c r="B48" s="47" t="s">
        <v>76</v>
      </c>
      <c r="C48" s="24" t="s">
        <v>45</v>
      </c>
      <c r="D48" s="18" t="s">
        <v>64</v>
      </c>
      <c r="E48" t="s">
        <v>89</v>
      </c>
      <c r="F48">
        <v>1.4144000000000001</v>
      </c>
      <c r="G48">
        <v>0.99099999999999999</v>
      </c>
      <c r="H48">
        <v>1.427</v>
      </c>
      <c r="K48">
        <v>0.15790000000000001</v>
      </c>
    </row>
    <row r="49" spans="1:12" hidden="1" x14ac:dyDescent="0.2">
      <c r="A49" s="61" t="s">
        <v>84</v>
      </c>
      <c r="B49" s="47" t="s">
        <v>76</v>
      </c>
      <c r="C49" s="24" t="s">
        <v>45</v>
      </c>
      <c r="D49" s="18" t="s">
        <v>64</v>
      </c>
      <c r="E49" s="11" t="s">
        <v>87</v>
      </c>
      <c r="F49" s="11">
        <v>2.1109</v>
      </c>
      <c r="G49" s="11">
        <v>0.81489999999999996</v>
      </c>
      <c r="H49" s="11">
        <v>2.5910000000000002</v>
      </c>
      <c r="I49" s="11"/>
      <c r="J49" s="11"/>
      <c r="K49" s="11">
        <v>1.17E-2</v>
      </c>
      <c r="L49" s="11" t="s">
        <v>61</v>
      </c>
    </row>
    <row r="50" spans="1:12" hidden="1" x14ac:dyDescent="0.2">
      <c r="A50" s="61" t="s">
        <v>84</v>
      </c>
      <c r="B50" s="47" t="s">
        <v>76</v>
      </c>
      <c r="C50" s="24" t="s">
        <v>45</v>
      </c>
      <c r="D50" s="18" t="s">
        <v>65</v>
      </c>
      <c r="E50" t="s">
        <v>106</v>
      </c>
      <c r="F50">
        <v>0.72019999999999995</v>
      </c>
      <c r="G50">
        <v>1.2062999999999999</v>
      </c>
      <c r="H50">
        <v>0.59699999999999998</v>
      </c>
      <c r="K50">
        <v>0.55500000000000005</v>
      </c>
    </row>
    <row r="51" spans="1:12" hidden="1" x14ac:dyDescent="0.2">
      <c r="A51" s="61" t="s">
        <v>84</v>
      </c>
      <c r="B51" s="47" t="s">
        <v>76</v>
      </c>
      <c r="C51" s="24" t="s">
        <v>45</v>
      </c>
      <c r="D51" s="18" t="s">
        <v>65</v>
      </c>
      <c r="E51" s="18" t="s">
        <v>86</v>
      </c>
      <c r="F51" s="18">
        <v>0.63439999999999996</v>
      </c>
      <c r="G51" s="18">
        <v>1.2062999999999999</v>
      </c>
      <c r="H51" s="18">
        <v>0.52600000000000002</v>
      </c>
      <c r="I51" s="18"/>
      <c r="J51" s="18"/>
      <c r="K51" s="18">
        <v>0.60299999999999998</v>
      </c>
      <c r="L51" s="23"/>
    </row>
    <row r="52" spans="1:12" hidden="1" x14ac:dyDescent="0.2">
      <c r="A52" s="61" t="s">
        <v>84</v>
      </c>
      <c r="B52" s="47" t="s">
        <v>76</v>
      </c>
      <c r="C52" s="24" t="s">
        <v>45</v>
      </c>
      <c r="D52" s="18" t="s">
        <v>65</v>
      </c>
      <c r="E52" s="18" t="s">
        <v>90</v>
      </c>
      <c r="F52" s="18">
        <v>-0.50439999999999996</v>
      </c>
      <c r="G52" s="18">
        <v>1.0732999999999999</v>
      </c>
      <c r="H52" s="18">
        <v>-0.47</v>
      </c>
      <c r="I52" s="18"/>
      <c r="J52" s="18"/>
      <c r="K52" s="18">
        <v>0.64200000000000002</v>
      </c>
      <c r="L52" s="23"/>
    </row>
    <row r="53" spans="1:12" hidden="1" x14ac:dyDescent="0.2">
      <c r="A53" s="50" t="s">
        <v>85</v>
      </c>
      <c r="B53" s="51" t="s">
        <v>70</v>
      </c>
      <c r="C53" s="48" t="s">
        <v>45</v>
      </c>
      <c r="D53" s="28" t="s">
        <v>66</v>
      </c>
      <c r="E53" s="49" t="s">
        <v>101</v>
      </c>
      <c r="F53" s="49">
        <v>1.0881149999999999</v>
      </c>
      <c r="G53" s="49">
        <v>0.58992199999999995</v>
      </c>
      <c r="H53" s="49">
        <v>1.845</v>
      </c>
      <c r="I53" s="49"/>
      <c r="J53" s="49"/>
      <c r="K53" s="49">
        <v>6.8000000000000005E-2</v>
      </c>
      <c r="L53" s="41" t="s">
        <v>60</v>
      </c>
    </row>
    <row r="54" spans="1:12" hidden="1" x14ac:dyDescent="0.2">
      <c r="A54" s="50" t="s">
        <v>85</v>
      </c>
      <c r="B54" s="51" t="s">
        <v>70</v>
      </c>
      <c r="C54" s="48" t="s">
        <v>45</v>
      </c>
      <c r="D54" s="28" t="s">
        <v>66</v>
      </c>
      <c r="E54" s="42" t="s">
        <v>104</v>
      </c>
      <c r="F54" s="42">
        <v>-0.491836</v>
      </c>
      <c r="G54" s="42">
        <v>0.54972299999999996</v>
      </c>
      <c r="H54" s="42">
        <v>-0.89500000000000002</v>
      </c>
      <c r="I54" s="42"/>
      <c r="J54" s="42"/>
      <c r="K54" s="42">
        <v>0.373</v>
      </c>
      <c r="L54" s="42"/>
    </row>
    <row r="55" spans="1:12" hidden="1" x14ac:dyDescent="0.2">
      <c r="A55" s="50" t="s">
        <v>85</v>
      </c>
      <c r="B55" s="51" t="s">
        <v>70</v>
      </c>
      <c r="C55" s="48" t="s">
        <v>45</v>
      </c>
      <c r="D55" s="28" t="s">
        <v>66</v>
      </c>
      <c r="E55" s="42" t="s">
        <v>105</v>
      </c>
      <c r="F55" s="42">
        <v>0.45663900000000002</v>
      </c>
      <c r="G55" s="42">
        <v>0.50634199999999996</v>
      </c>
      <c r="H55" s="42">
        <v>0.90200000000000002</v>
      </c>
      <c r="I55" s="42"/>
      <c r="J55" s="42"/>
      <c r="K55" s="42">
        <v>0.36899999999999999</v>
      </c>
      <c r="L55" s="42"/>
    </row>
    <row r="56" spans="1:12" s="42" customFormat="1" hidden="1" x14ac:dyDescent="0.2">
      <c r="A56" s="29" t="s">
        <v>85</v>
      </c>
      <c r="B56" s="45" t="s">
        <v>70</v>
      </c>
      <c r="C56" s="24" t="s">
        <v>45</v>
      </c>
      <c r="D56" s="18" t="s">
        <v>64</v>
      </c>
      <c r="E56" t="s">
        <v>108</v>
      </c>
      <c r="F56">
        <v>1.0781000000000001</v>
      </c>
      <c r="G56">
        <v>0.78700000000000003</v>
      </c>
      <c r="H56">
        <v>1.37</v>
      </c>
      <c r="I56"/>
      <c r="J56"/>
      <c r="K56">
        <v>0.17499999999999999</v>
      </c>
      <c r="L56"/>
    </row>
    <row r="57" spans="1:12" hidden="1" x14ac:dyDescent="0.2">
      <c r="A57" s="29" t="s">
        <v>85</v>
      </c>
      <c r="B57" s="45" t="s">
        <v>70</v>
      </c>
      <c r="C57" s="24" t="s">
        <v>45</v>
      </c>
      <c r="D57" s="18" t="s">
        <v>64</v>
      </c>
      <c r="E57" t="s">
        <v>109</v>
      </c>
      <c r="F57">
        <v>-0.84299999999999997</v>
      </c>
      <c r="G57">
        <v>0.72040000000000004</v>
      </c>
      <c r="H57">
        <v>-1.17</v>
      </c>
      <c r="K57">
        <v>0.246</v>
      </c>
    </row>
    <row r="58" spans="1:12" hidden="1" x14ac:dyDescent="0.2">
      <c r="A58" s="29" t="s">
        <v>85</v>
      </c>
      <c r="B58" s="45" t="s">
        <v>70</v>
      </c>
      <c r="C58" s="24" t="s">
        <v>45</v>
      </c>
      <c r="D58" s="18" t="s">
        <v>64</v>
      </c>
      <c r="E58" t="s">
        <v>110</v>
      </c>
      <c r="F58">
        <v>0.87849999999999995</v>
      </c>
      <c r="G58">
        <v>0.64690000000000003</v>
      </c>
      <c r="H58">
        <v>1.3580000000000001</v>
      </c>
      <c r="K58">
        <v>0.17899999999999999</v>
      </c>
    </row>
    <row r="59" spans="1:12" s="42" customFormat="1" hidden="1" x14ac:dyDescent="0.2">
      <c r="A59" s="29" t="s">
        <v>85</v>
      </c>
      <c r="B59" s="45" t="s">
        <v>70</v>
      </c>
      <c r="C59" s="24" t="s">
        <v>45</v>
      </c>
      <c r="D59" s="18" t="s">
        <v>65</v>
      </c>
      <c r="E59" t="s">
        <v>108</v>
      </c>
      <c r="F59">
        <v>0.73780000000000001</v>
      </c>
      <c r="G59">
        <v>0.84409999999999996</v>
      </c>
      <c r="H59">
        <v>0.874</v>
      </c>
      <c r="I59"/>
      <c r="J59"/>
      <c r="K59">
        <v>0.38900000000000001</v>
      </c>
      <c r="L59"/>
    </row>
    <row r="60" spans="1:12" hidden="1" x14ac:dyDescent="0.2">
      <c r="A60" s="29" t="s">
        <v>85</v>
      </c>
      <c r="B60" s="45" t="s">
        <v>70</v>
      </c>
      <c r="C60" s="24" t="s">
        <v>45</v>
      </c>
      <c r="D60" s="18" t="s">
        <v>65</v>
      </c>
      <c r="E60" t="s">
        <v>102</v>
      </c>
      <c r="F60">
        <v>0.29509999999999997</v>
      </c>
      <c r="G60">
        <v>0.80730000000000002</v>
      </c>
      <c r="H60">
        <v>0.36499999999999999</v>
      </c>
      <c r="K60">
        <v>0.71699999999999997</v>
      </c>
    </row>
    <row r="61" spans="1:12" hidden="1" x14ac:dyDescent="0.2">
      <c r="A61" s="29" t="s">
        <v>85</v>
      </c>
      <c r="B61" s="45" t="s">
        <v>70</v>
      </c>
      <c r="C61" s="24" t="s">
        <v>45</v>
      </c>
      <c r="D61" s="18" t="s">
        <v>65</v>
      </c>
      <c r="E61" t="s">
        <v>105</v>
      </c>
      <c r="F61">
        <v>-0.60289999999999999</v>
      </c>
      <c r="G61">
        <v>0.76890000000000003</v>
      </c>
      <c r="H61">
        <v>-0.78400000000000003</v>
      </c>
      <c r="K61">
        <v>0.439</v>
      </c>
    </row>
    <row r="62" spans="1:12" s="42" customFormat="1" x14ac:dyDescent="0.2">
      <c r="A62" s="30" t="s">
        <v>10</v>
      </c>
      <c r="B62" s="177" t="s">
        <v>74</v>
      </c>
      <c r="C62" s="27" t="s">
        <v>45</v>
      </c>
      <c r="D62" s="100" t="s">
        <v>66</v>
      </c>
      <c r="E62" s="93" t="s">
        <v>50</v>
      </c>
      <c r="F62" s="93">
        <v>1.4087000000000001</v>
      </c>
      <c r="G62" s="93">
        <v>0.59989999999999999</v>
      </c>
      <c r="H62" s="93">
        <v>2.3479999999999999</v>
      </c>
      <c r="I62" s="93">
        <v>0.2192153</v>
      </c>
      <c r="J62" s="93">
        <v>2.5981786900000001</v>
      </c>
      <c r="K62" s="93">
        <v>2.07E-2</v>
      </c>
      <c r="L62" s="93" t="s">
        <v>61</v>
      </c>
    </row>
    <row r="63" spans="1:12" x14ac:dyDescent="0.2">
      <c r="A63" s="175" t="s">
        <v>10</v>
      </c>
      <c r="B63" s="44" t="s">
        <v>74</v>
      </c>
      <c r="C63" s="176" t="s">
        <v>45</v>
      </c>
      <c r="D63" s="109" t="s">
        <v>64</v>
      </c>
      <c r="E63" s="94" t="s">
        <v>50</v>
      </c>
      <c r="F63" s="94">
        <v>1.8931</v>
      </c>
      <c r="G63" s="94">
        <v>0.74619999999999997</v>
      </c>
      <c r="H63" s="94">
        <v>2.5369999999999999</v>
      </c>
      <c r="I63" s="94">
        <v>0.40554709999999999</v>
      </c>
      <c r="J63" s="94">
        <v>3.3807014999999998</v>
      </c>
      <c r="K63" s="94">
        <v>1.34E-2</v>
      </c>
      <c r="L63" s="95" t="s">
        <v>61</v>
      </c>
    </row>
    <row r="64" spans="1:12" x14ac:dyDescent="0.2">
      <c r="A64" s="175" t="s">
        <v>10</v>
      </c>
      <c r="B64" s="44" t="s">
        <v>74</v>
      </c>
      <c r="C64" s="176" t="s">
        <v>45</v>
      </c>
      <c r="D64" s="76" t="s">
        <v>65</v>
      </c>
      <c r="E64" s="92" t="s">
        <v>51</v>
      </c>
      <c r="F64" s="92">
        <v>0.13189999999999999</v>
      </c>
      <c r="G64" s="92">
        <v>0.95750000000000002</v>
      </c>
      <c r="H64" s="92">
        <v>0.13800000000000001</v>
      </c>
      <c r="I64" s="92">
        <v>-1.820946</v>
      </c>
      <c r="J64" s="92">
        <v>2.0847929999999999</v>
      </c>
      <c r="K64" s="92">
        <v>0.89100000000000001</v>
      </c>
      <c r="L64" s="96"/>
    </row>
    <row r="65" spans="1:12" s="42" customFormat="1" x14ac:dyDescent="0.2">
      <c r="A65" s="30" t="s">
        <v>10</v>
      </c>
      <c r="B65" s="177" t="s">
        <v>74</v>
      </c>
      <c r="C65" s="85" t="s">
        <v>46</v>
      </c>
      <c r="D65" s="28" t="s">
        <v>66</v>
      </c>
      <c r="E65" s="69" t="s">
        <v>51</v>
      </c>
      <c r="F65" s="69">
        <v>-4.8700000000000002E-3</v>
      </c>
      <c r="G65" s="69">
        <v>0.49552099999999999</v>
      </c>
      <c r="H65" s="69">
        <v>-0.01</v>
      </c>
      <c r="I65" s="69">
        <v>-0.98739650000000001</v>
      </c>
      <c r="J65" s="69">
        <v>0.97765650000000004</v>
      </c>
      <c r="K65" s="69">
        <v>0.99199999999999999</v>
      </c>
      <c r="L65" s="69"/>
    </row>
    <row r="66" spans="1:12" x14ac:dyDescent="0.2">
      <c r="A66" s="175" t="s">
        <v>10</v>
      </c>
      <c r="B66" s="44" t="s">
        <v>74</v>
      </c>
      <c r="C66" s="87" t="s">
        <v>46</v>
      </c>
      <c r="D66" s="76" t="s">
        <v>64</v>
      </c>
      <c r="E66" s="92" t="s">
        <v>50</v>
      </c>
      <c r="F66" s="92">
        <v>-0.64980000000000004</v>
      </c>
      <c r="G66" s="92">
        <v>0.63170000000000004</v>
      </c>
      <c r="H66" s="92">
        <v>-1.0289999999999999</v>
      </c>
      <c r="I66" s="26">
        <v>-1.9090290999999999</v>
      </c>
      <c r="J66" s="26">
        <v>0.60935569999999994</v>
      </c>
      <c r="K66" s="26">
        <v>0.307</v>
      </c>
      <c r="L66" s="96"/>
    </row>
    <row r="67" spans="1:12" x14ac:dyDescent="0.2">
      <c r="A67" s="175" t="s">
        <v>10</v>
      </c>
      <c r="B67" s="44" t="s">
        <v>74</v>
      </c>
      <c r="C67" s="87" t="s">
        <v>46</v>
      </c>
      <c r="D67" s="109" t="s">
        <v>65</v>
      </c>
      <c r="E67" s="94" t="s">
        <v>241</v>
      </c>
      <c r="F67" s="94">
        <v>1.482</v>
      </c>
      <c r="G67" s="94">
        <v>0.63660000000000005</v>
      </c>
      <c r="H67" s="94">
        <v>2.3279999999999998</v>
      </c>
      <c r="I67" s="103">
        <v>0.18366109999999999</v>
      </c>
      <c r="J67" s="103">
        <v>2.7803659999999999</v>
      </c>
      <c r="K67" s="103">
        <v>2.6599999999999999E-2</v>
      </c>
      <c r="L67" s="95" t="s">
        <v>61</v>
      </c>
    </row>
    <row r="68" spans="1:12" s="42" customFormat="1" hidden="1" x14ac:dyDescent="0.2">
      <c r="A68" s="72" t="s">
        <v>228</v>
      </c>
      <c r="B68" s="73" t="s">
        <v>74</v>
      </c>
      <c r="C68" s="48" t="s">
        <v>45</v>
      </c>
      <c r="D68" s="28" t="s">
        <v>66</v>
      </c>
      <c r="E68" s="78" t="s">
        <v>229</v>
      </c>
      <c r="F68" s="78">
        <v>0.54369999999999996</v>
      </c>
      <c r="G68" s="78">
        <v>0.54500000000000004</v>
      </c>
      <c r="H68" s="78">
        <v>0.998</v>
      </c>
      <c r="I68" s="42">
        <v>-0.53691089999999997</v>
      </c>
      <c r="J68" s="42">
        <v>1.6242186000000001</v>
      </c>
      <c r="K68" s="42">
        <v>0.32100000000000001</v>
      </c>
      <c r="L68" s="79"/>
    </row>
    <row r="69" spans="1:12" hidden="1" x14ac:dyDescent="0.2">
      <c r="A69" s="71" t="s">
        <v>228</v>
      </c>
      <c r="B69" s="44" t="s">
        <v>74</v>
      </c>
      <c r="C69" s="24" t="s">
        <v>45</v>
      </c>
      <c r="D69" s="18" t="s">
        <v>64</v>
      </c>
      <c r="E69" s="18" t="s">
        <v>229</v>
      </c>
      <c r="F69" s="18">
        <v>0.21479999999999999</v>
      </c>
      <c r="G69" s="18">
        <v>0.72160000000000002</v>
      </c>
      <c r="H69" s="18">
        <v>0.29799999999999999</v>
      </c>
      <c r="I69" s="18">
        <v>-1.2236370000000001</v>
      </c>
      <c r="J69" s="18">
        <v>1.6531994999999999</v>
      </c>
      <c r="K69" s="18">
        <v>0.76700000000000002</v>
      </c>
      <c r="L69" s="23"/>
    </row>
    <row r="70" spans="1:12" hidden="1" x14ac:dyDescent="0.2">
      <c r="A70" s="71" t="s">
        <v>228</v>
      </c>
      <c r="B70" s="44" t="s">
        <v>74</v>
      </c>
      <c r="C70" s="24" t="s">
        <v>45</v>
      </c>
      <c r="D70" s="18" t="s">
        <v>65</v>
      </c>
      <c r="E70" s="18" t="s">
        <v>231</v>
      </c>
      <c r="F70" s="18">
        <v>0.99580000000000002</v>
      </c>
      <c r="G70" s="18">
        <v>0.77180000000000004</v>
      </c>
      <c r="H70" s="18">
        <v>1.29</v>
      </c>
      <c r="I70" s="18">
        <v>-0.57829299999999995</v>
      </c>
      <c r="J70" s="18">
        <v>2.569979</v>
      </c>
      <c r="K70" s="18">
        <v>0.20699999999999999</v>
      </c>
      <c r="L70" s="23"/>
    </row>
    <row r="71" spans="1:12" s="42" customFormat="1" hidden="1" x14ac:dyDescent="0.2">
      <c r="A71" s="72" t="s">
        <v>228</v>
      </c>
      <c r="B71" s="73" t="s">
        <v>74</v>
      </c>
      <c r="C71" s="85" t="s">
        <v>46</v>
      </c>
      <c r="D71" s="28" t="s">
        <v>66</v>
      </c>
      <c r="E71" s="42" t="s">
        <v>230</v>
      </c>
      <c r="F71" s="42">
        <v>6.5509999999999999E-2</v>
      </c>
      <c r="G71" s="42">
        <v>0.44080000000000003</v>
      </c>
      <c r="H71" s="42">
        <v>0.14899999999999999</v>
      </c>
      <c r="I71" s="42">
        <v>-0.80852250000000003</v>
      </c>
      <c r="J71" s="42">
        <v>0.93953560000000003</v>
      </c>
      <c r="K71" s="42">
        <v>0.88200000000000001</v>
      </c>
      <c r="L71"/>
    </row>
    <row r="72" spans="1:12" hidden="1" x14ac:dyDescent="0.2">
      <c r="A72" s="71" t="s">
        <v>228</v>
      </c>
      <c r="B72" s="44" t="s">
        <v>74</v>
      </c>
      <c r="C72" s="87" t="s">
        <v>46</v>
      </c>
      <c r="D72" s="18" t="s">
        <v>64</v>
      </c>
      <c r="E72" t="s">
        <v>229</v>
      </c>
      <c r="F72">
        <v>-0.36470000000000002</v>
      </c>
      <c r="G72">
        <v>0.58830000000000005</v>
      </c>
      <c r="H72">
        <v>-0.62</v>
      </c>
      <c r="I72">
        <v>-1.5374142</v>
      </c>
      <c r="J72">
        <v>0.80798049999999999</v>
      </c>
      <c r="K72">
        <v>0.53700000000000003</v>
      </c>
    </row>
    <row r="73" spans="1:12" hidden="1" x14ac:dyDescent="0.2">
      <c r="A73" s="71" t="s">
        <v>228</v>
      </c>
      <c r="B73" s="44" t="s">
        <v>74</v>
      </c>
      <c r="C73" s="87" t="s">
        <v>46</v>
      </c>
      <c r="D73" s="18" t="s">
        <v>65</v>
      </c>
      <c r="E73" t="s">
        <v>229</v>
      </c>
      <c r="F73">
        <v>0.64939999999999998</v>
      </c>
      <c r="G73">
        <v>0.55869999999999997</v>
      </c>
      <c r="H73">
        <v>1.1619999999999999</v>
      </c>
      <c r="I73">
        <v>-0.49007099999999998</v>
      </c>
      <c r="J73">
        <v>1.7889109999999999</v>
      </c>
      <c r="K73">
        <v>0.254</v>
      </c>
    </row>
    <row r="74" spans="1:12" hidden="1" x14ac:dyDescent="0.2">
      <c r="A74" s="72" t="s">
        <v>275</v>
      </c>
      <c r="B74" s="89" t="s">
        <v>259</v>
      </c>
      <c r="C74" s="48" t="s">
        <v>45</v>
      </c>
      <c r="D74" s="104" t="s">
        <v>66</v>
      </c>
      <c r="E74" s="41" t="s">
        <v>275</v>
      </c>
      <c r="F74" s="41">
        <v>-0.44119999999999998</v>
      </c>
      <c r="G74" s="41">
        <v>0.2417</v>
      </c>
      <c r="H74" s="41">
        <v>-1.8260000000000001</v>
      </c>
      <c r="I74" s="41">
        <v>-0.92036300000000004</v>
      </c>
      <c r="J74" s="41">
        <v>3.8011400000000001E-2</v>
      </c>
      <c r="K74" s="41">
        <v>7.0800000000000002E-2</v>
      </c>
      <c r="L74" s="41" t="s">
        <v>200</v>
      </c>
    </row>
    <row r="75" spans="1:12" hidden="1" x14ac:dyDescent="0.2">
      <c r="A75" s="70" t="s">
        <v>275</v>
      </c>
      <c r="B75" s="143" t="s">
        <v>259</v>
      </c>
      <c r="C75" s="24" t="s">
        <v>45</v>
      </c>
      <c r="D75" s="18" t="s">
        <v>64</v>
      </c>
      <c r="E75" t="s">
        <v>276</v>
      </c>
      <c r="F75">
        <v>-0.4864</v>
      </c>
      <c r="G75">
        <v>0.33889999999999998</v>
      </c>
      <c r="H75">
        <v>-1.4350000000000001</v>
      </c>
      <c r="I75">
        <v>-1.1619035</v>
      </c>
      <c r="J75">
        <v>0.18912950000000001</v>
      </c>
      <c r="K75">
        <v>0.156</v>
      </c>
    </row>
    <row r="76" spans="1:12" hidden="1" x14ac:dyDescent="0.2">
      <c r="A76" s="70" t="s">
        <v>275</v>
      </c>
      <c r="B76" s="143" t="s">
        <v>259</v>
      </c>
      <c r="C76" s="24" t="s">
        <v>45</v>
      </c>
      <c r="D76" s="18" t="s">
        <v>65</v>
      </c>
      <c r="E76" t="s">
        <v>275</v>
      </c>
      <c r="F76">
        <v>-0.29730000000000001</v>
      </c>
      <c r="G76">
        <v>0.31940000000000002</v>
      </c>
      <c r="H76">
        <v>-0.93100000000000005</v>
      </c>
      <c r="I76">
        <v>-0.94878879999999999</v>
      </c>
      <c r="J76">
        <v>0.35411969999999998</v>
      </c>
      <c r="K76">
        <v>0.35899999999999999</v>
      </c>
    </row>
    <row r="77" spans="1:12" hidden="1" x14ac:dyDescent="0.2">
      <c r="A77" s="72" t="s">
        <v>275</v>
      </c>
      <c r="B77" s="89" t="s">
        <v>259</v>
      </c>
      <c r="C77" s="85" t="s">
        <v>46</v>
      </c>
      <c r="D77" s="28" t="s">
        <v>66</v>
      </c>
      <c r="E77" s="42" t="s">
        <v>275</v>
      </c>
      <c r="F77" s="42">
        <v>-6.1280000000000001E-2</v>
      </c>
      <c r="G77" s="42">
        <v>0.19755</v>
      </c>
      <c r="H77" s="42">
        <v>-0.31</v>
      </c>
      <c r="I77" s="42">
        <v>-0.45298559999999999</v>
      </c>
      <c r="J77" s="42">
        <v>0.33043220000000001</v>
      </c>
      <c r="K77" s="42">
        <v>0.75700000000000001</v>
      </c>
      <c r="L77" s="42"/>
    </row>
    <row r="78" spans="1:12" hidden="1" x14ac:dyDescent="0.2">
      <c r="A78" s="70" t="s">
        <v>275</v>
      </c>
      <c r="B78" s="143" t="s">
        <v>259</v>
      </c>
      <c r="C78" s="87" t="s">
        <v>46</v>
      </c>
      <c r="D78" s="18" t="s">
        <v>64</v>
      </c>
      <c r="E78" t="s">
        <v>276</v>
      </c>
      <c r="F78">
        <v>0.21279999999999999</v>
      </c>
      <c r="G78">
        <v>0.27960000000000002</v>
      </c>
      <c r="H78">
        <v>0.76100000000000001</v>
      </c>
      <c r="I78">
        <v>-0.34461950000000002</v>
      </c>
      <c r="J78">
        <v>0.77029590000000003</v>
      </c>
      <c r="K78">
        <v>0.44900000000000001</v>
      </c>
    </row>
    <row r="79" spans="1:12" hidden="1" x14ac:dyDescent="0.2">
      <c r="A79" s="70" t="s">
        <v>275</v>
      </c>
      <c r="B79" s="143" t="s">
        <v>259</v>
      </c>
      <c r="C79" s="87" t="s">
        <v>46</v>
      </c>
      <c r="D79" s="18" t="s">
        <v>65</v>
      </c>
      <c r="E79" s="18" t="s">
        <v>275</v>
      </c>
      <c r="F79" s="18">
        <v>-0.33989999999999998</v>
      </c>
      <c r="G79" s="18">
        <v>0.22520000000000001</v>
      </c>
      <c r="H79" s="18">
        <v>-1.5089999999999999</v>
      </c>
      <c r="I79" s="18">
        <v>-0.79912260000000002</v>
      </c>
      <c r="J79" s="18">
        <v>0.1193668</v>
      </c>
      <c r="K79" s="18">
        <v>0.14130000000000001</v>
      </c>
      <c r="L79" s="23"/>
    </row>
    <row r="80" spans="1:12" hidden="1" x14ac:dyDescent="0.2">
      <c r="A80" s="89" t="s">
        <v>265</v>
      </c>
      <c r="B80" s="89" t="s">
        <v>259</v>
      </c>
      <c r="C80" s="48" t="s">
        <v>45</v>
      </c>
      <c r="D80" s="100" t="s">
        <v>66</v>
      </c>
      <c r="E80" s="93" t="s">
        <v>265</v>
      </c>
      <c r="F80" s="93">
        <v>-0.29409999999999997</v>
      </c>
      <c r="G80" s="93">
        <v>0.1217</v>
      </c>
      <c r="H80" s="93">
        <v>-2.4169999999999998</v>
      </c>
      <c r="I80" s="93">
        <f>-0.5352909</f>
        <v>-0.53529090000000001</v>
      </c>
      <c r="J80" s="93">
        <v>-5.2821140000000003E-2</v>
      </c>
      <c r="K80" s="93">
        <v>1.7399999999999999E-2</v>
      </c>
      <c r="L80" s="93" t="s">
        <v>61</v>
      </c>
    </row>
    <row r="81" spans="1:12" hidden="1" x14ac:dyDescent="0.2">
      <c r="A81" s="143" t="s">
        <v>265</v>
      </c>
      <c r="B81" s="143" t="s">
        <v>259</v>
      </c>
      <c r="C81" s="176" t="s">
        <v>45</v>
      </c>
      <c r="D81" s="76" t="s">
        <v>64</v>
      </c>
      <c r="E81" s="92" t="s">
        <v>265</v>
      </c>
      <c r="F81" s="92">
        <v>-0.2147</v>
      </c>
      <c r="G81" s="92">
        <v>0.16969999999999999</v>
      </c>
      <c r="H81" s="92">
        <v>-1.2649999999999999</v>
      </c>
      <c r="I81" s="92">
        <v>-0.55309900000000001</v>
      </c>
      <c r="J81" s="92">
        <v>0.1236083</v>
      </c>
      <c r="K81" s="92">
        <v>0.21</v>
      </c>
      <c r="L81" s="96"/>
    </row>
    <row r="82" spans="1:12" hidden="1" x14ac:dyDescent="0.2">
      <c r="A82" s="143" t="s">
        <v>265</v>
      </c>
      <c r="B82" s="143" t="s">
        <v>259</v>
      </c>
      <c r="C82" s="176" t="s">
        <v>45</v>
      </c>
      <c r="D82" s="109" t="s">
        <v>65</v>
      </c>
      <c r="E82" s="103" t="s">
        <v>265</v>
      </c>
      <c r="F82" s="94">
        <v>-0.39500000000000002</v>
      </c>
      <c r="G82" s="94">
        <v>0.1769</v>
      </c>
      <c r="H82" s="94">
        <v>-2.234</v>
      </c>
      <c r="I82" s="94">
        <f>-0.7557434</f>
        <v>-0.75574339999999995</v>
      </c>
      <c r="J82" s="94">
        <v>-3.4332830000000002E-2</v>
      </c>
      <c r="K82" s="94">
        <v>3.2899999999999999E-2</v>
      </c>
      <c r="L82" s="95" t="s">
        <v>61</v>
      </c>
    </row>
    <row r="83" spans="1:12" hidden="1" x14ac:dyDescent="0.2">
      <c r="A83" s="89" t="s">
        <v>265</v>
      </c>
      <c r="B83" s="89" t="s">
        <v>259</v>
      </c>
      <c r="C83" s="85" t="s">
        <v>46</v>
      </c>
      <c r="D83" s="28" t="s">
        <v>66</v>
      </c>
      <c r="E83" s="178" t="s">
        <v>265</v>
      </c>
      <c r="F83" s="69">
        <v>-0.11699</v>
      </c>
      <c r="G83" s="69">
        <v>9.9989999999999996E-2</v>
      </c>
      <c r="H83" s="69">
        <v>-1.17</v>
      </c>
      <c r="I83" s="69">
        <v>-0.31526290000000001</v>
      </c>
      <c r="J83" s="69">
        <v>8.1276810000000005E-2</v>
      </c>
      <c r="K83" s="69">
        <v>0.245</v>
      </c>
      <c r="L83" s="69"/>
    </row>
    <row r="84" spans="1:12" hidden="1" x14ac:dyDescent="0.2">
      <c r="A84" s="143" t="s">
        <v>265</v>
      </c>
      <c r="B84" s="143" t="s">
        <v>259</v>
      </c>
      <c r="C84" s="87" t="s">
        <v>46</v>
      </c>
      <c r="D84" s="76" t="s">
        <v>64</v>
      </c>
      <c r="E84" s="92" t="s">
        <v>265</v>
      </c>
      <c r="F84" s="92">
        <v>8.0159999999999995E-2</v>
      </c>
      <c r="G84" s="92">
        <v>0.13986999999999999</v>
      </c>
      <c r="H84" s="92">
        <v>0.57299999999999995</v>
      </c>
      <c r="I84" s="92">
        <v>-0.19867679999999999</v>
      </c>
      <c r="J84" s="92">
        <v>0.35899330000000002</v>
      </c>
      <c r="K84" s="92">
        <v>0.56799999999999995</v>
      </c>
      <c r="L84" s="96"/>
    </row>
    <row r="85" spans="1:12" hidden="1" x14ac:dyDescent="0.2">
      <c r="A85" s="143" t="s">
        <v>265</v>
      </c>
      <c r="B85" s="143" t="s">
        <v>259</v>
      </c>
      <c r="C85" s="87" t="s">
        <v>46</v>
      </c>
      <c r="D85" s="109" t="s">
        <v>65</v>
      </c>
      <c r="E85" s="94" t="s">
        <v>235</v>
      </c>
      <c r="F85" s="94">
        <v>-0.36299999999999999</v>
      </c>
      <c r="G85" s="94">
        <v>0.1208</v>
      </c>
      <c r="H85" s="94">
        <v>-3.0049999999999999</v>
      </c>
      <c r="I85" s="94">
        <f>-0.6093992</f>
        <v>-0.60939920000000003</v>
      </c>
      <c r="J85" s="94">
        <v>-0.11661729999999999</v>
      </c>
      <c r="K85" s="94">
        <v>5.2199999999999998E-3</v>
      </c>
      <c r="L85" s="95" t="s">
        <v>61</v>
      </c>
    </row>
    <row r="86" spans="1:12" hidden="1" x14ac:dyDescent="0.2">
      <c r="A86" s="117" t="s">
        <v>263</v>
      </c>
      <c r="B86" s="73" t="s">
        <v>74</v>
      </c>
      <c r="C86" s="48" t="s">
        <v>45</v>
      </c>
      <c r="D86" s="104" t="s">
        <v>66</v>
      </c>
      <c r="E86" s="97" t="s">
        <v>272</v>
      </c>
      <c r="F86" s="97">
        <v>0.99509999999999998</v>
      </c>
      <c r="G86" s="97">
        <v>0.51170000000000004</v>
      </c>
      <c r="H86" s="97">
        <v>1.944</v>
      </c>
      <c r="I86" s="97">
        <v>-1.9623149999999999E-2</v>
      </c>
      <c r="J86" s="97">
        <v>2.0097527999999998</v>
      </c>
      <c r="K86" s="97">
        <v>5.45E-2</v>
      </c>
      <c r="L86" s="97" t="s">
        <v>200</v>
      </c>
    </row>
    <row r="87" spans="1:12" hidden="1" x14ac:dyDescent="0.2">
      <c r="A87" s="144" t="s">
        <v>263</v>
      </c>
      <c r="B87" s="44" t="s">
        <v>74</v>
      </c>
      <c r="C87" s="176" t="s">
        <v>45</v>
      </c>
      <c r="D87" s="76" t="s">
        <v>64</v>
      </c>
      <c r="E87" s="92" t="s">
        <v>264</v>
      </c>
      <c r="F87" s="92">
        <v>0.67810000000000004</v>
      </c>
      <c r="G87" s="92">
        <v>0.67979999999999996</v>
      </c>
      <c r="H87" s="92">
        <v>0.997</v>
      </c>
      <c r="I87" s="92">
        <v>-0.67709770000000002</v>
      </c>
      <c r="J87" s="92">
        <v>2.0333789000000002</v>
      </c>
      <c r="K87" s="92">
        <v>0.32200000000000001</v>
      </c>
      <c r="L87" s="96"/>
    </row>
    <row r="88" spans="1:12" hidden="1" x14ac:dyDescent="0.2">
      <c r="A88" s="144" t="s">
        <v>263</v>
      </c>
      <c r="B88" s="44" t="s">
        <v>74</v>
      </c>
      <c r="C88" s="176" t="s">
        <v>45</v>
      </c>
      <c r="D88" s="98" t="s">
        <v>65</v>
      </c>
      <c r="E88" s="99" t="s">
        <v>272</v>
      </c>
      <c r="F88" s="106">
        <v>1.4587000000000001</v>
      </c>
      <c r="G88" s="106">
        <v>0.83930000000000005</v>
      </c>
      <c r="H88" s="106">
        <v>1.738</v>
      </c>
      <c r="I88" s="106">
        <v>-0.25295570000000001</v>
      </c>
      <c r="J88" s="106">
        <v>3.1704010999999999</v>
      </c>
      <c r="K88" s="106">
        <v>9.2100000000000001E-2</v>
      </c>
      <c r="L88" s="184" t="s">
        <v>200</v>
      </c>
    </row>
    <row r="89" spans="1:12" hidden="1" x14ac:dyDescent="0.2">
      <c r="A89" s="117" t="s">
        <v>263</v>
      </c>
      <c r="B89" s="73" t="s">
        <v>74</v>
      </c>
      <c r="C89" s="85" t="s">
        <v>46</v>
      </c>
      <c r="D89" s="104" t="s">
        <v>66</v>
      </c>
      <c r="E89" s="97" t="s">
        <v>272</v>
      </c>
      <c r="F89" s="97">
        <v>0.6966</v>
      </c>
      <c r="G89" s="97">
        <v>0.4138</v>
      </c>
      <c r="H89" s="97">
        <v>1.6830000000000001</v>
      </c>
      <c r="I89" s="97">
        <v>-0.1239287</v>
      </c>
      <c r="J89" s="97">
        <v>1.5171680000000001</v>
      </c>
      <c r="K89" s="97">
        <v>9.5299999999999996E-2</v>
      </c>
      <c r="L89" s="97" t="s">
        <v>200</v>
      </c>
    </row>
    <row r="90" spans="1:12" hidden="1" x14ac:dyDescent="0.2">
      <c r="A90" s="144" t="s">
        <v>263</v>
      </c>
      <c r="B90" s="44" t="s">
        <v>74</v>
      </c>
      <c r="C90" s="87" t="s">
        <v>46</v>
      </c>
      <c r="D90" s="76" t="s">
        <v>64</v>
      </c>
      <c r="E90" s="92" t="s">
        <v>272</v>
      </c>
      <c r="F90" s="92">
        <v>-9.9849999999999994E-2</v>
      </c>
      <c r="G90" s="92">
        <v>0.55908999999999998</v>
      </c>
      <c r="H90" s="92">
        <v>-0.17899999999999999</v>
      </c>
      <c r="I90" s="92">
        <v>-1.214375</v>
      </c>
      <c r="J90" s="92">
        <v>1.0146744999999999</v>
      </c>
      <c r="K90" s="92">
        <v>0.85899999999999999</v>
      </c>
      <c r="L90" s="96"/>
    </row>
    <row r="91" spans="1:12" hidden="1" x14ac:dyDescent="0.2">
      <c r="A91" s="144" t="s">
        <v>263</v>
      </c>
      <c r="B91" s="44" t="s">
        <v>74</v>
      </c>
      <c r="C91" s="87" t="s">
        <v>46</v>
      </c>
      <c r="D91" s="186" t="s">
        <v>65</v>
      </c>
      <c r="E91" s="108" t="s">
        <v>264</v>
      </c>
      <c r="F91" s="108">
        <v>2.1526000000000001</v>
      </c>
      <c r="G91" s="108">
        <v>0.50170000000000003</v>
      </c>
      <c r="H91" s="108">
        <v>4.2910000000000004</v>
      </c>
      <c r="I91" s="186">
        <v>1.129389</v>
      </c>
      <c r="J91" s="108">
        <v>3.1757966999999998</v>
      </c>
      <c r="K91" s="108">
        <v>1.6200000000000001E-4</v>
      </c>
      <c r="L91" s="187" t="s">
        <v>242</v>
      </c>
    </row>
    <row r="92" spans="1:12" x14ac:dyDescent="0.2">
      <c r="A92" s="198" t="s">
        <v>280</v>
      </c>
      <c r="B92" s="73" t="s">
        <v>74</v>
      </c>
      <c r="C92" s="48" t="s">
        <v>45</v>
      </c>
      <c r="D92" s="179" t="s">
        <v>66</v>
      </c>
      <c r="E92" s="11" t="s">
        <v>281</v>
      </c>
      <c r="F92" s="11">
        <v>1.3512</v>
      </c>
      <c r="G92" s="11">
        <v>0.55869999999999997</v>
      </c>
      <c r="H92" s="11">
        <v>2.4180000000000001</v>
      </c>
      <c r="I92" s="11">
        <v>0.24330280000000001</v>
      </c>
      <c r="J92" s="11">
        <v>2.45906007</v>
      </c>
      <c r="K92" s="11">
        <v>1.7299999999999999E-2</v>
      </c>
      <c r="L92" s="11" t="s">
        <v>61</v>
      </c>
    </row>
    <row r="93" spans="1:12" x14ac:dyDescent="0.2">
      <c r="A93" s="196" t="s">
        <v>280</v>
      </c>
      <c r="B93" s="44" t="s">
        <v>74</v>
      </c>
      <c r="C93" s="176" t="s">
        <v>45</v>
      </c>
      <c r="D93" s="98" t="s">
        <v>64</v>
      </c>
      <c r="E93" s="105" t="s">
        <v>281</v>
      </c>
      <c r="F93" s="106">
        <v>1.2594000000000001</v>
      </c>
      <c r="G93" s="106">
        <v>0.68410000000000004</v>
      </c>
      <c r="H93" s="106">
        <v>1.841</v>
      </c>
      <c r="I93" s="98">
        <v>-0.10424849999999999</v>
      </c>
      <c r="J93" s="106">
        <v>2.62306251</v>
      </c>
      <c r="K93" s="106">
        <v>6.9699999999999998E-2</v>
      </c>
      <c r="L93" s="107" t="s">
        <v>200</v>
      </c>
    </row>
    <row r="94" spans="1:12" x14ac:dyDescent="0.2">
      <c r="A94" s="196" t="s">
        <v>280</v>
      </c>
      <c r="B94" s="44" t="s">
        <v>74</v>
      </c>
      <c r="C94" s="176" t="s">
        <v>45</v>
      </c>
      <c r="D94" s="76" t="s">
        <v>65</v>
      </c>
      <c r="E94" s="102" t="s">
        <v>282</v>
      </c>
      <c r="F94" s="92">
        <v>1.2887999999999999</v>
      </c>
      <c r="G94" s="92">
        <v>1.0672999999999999</v>
      </c>
      <c r="H94" s="92">
        <v>1.208</v>
      </c>
      <c r="I94" s="76">
        <v>-0.88789910000000005</v>
      </c>
      <c r="J94" s="92">
        <v>3.4654780000000001</v>
      </c>
      <c r="K94" s="92">
        <v>0.23599999999999999</v>
      </c>
      <c r="L94" s="96"/>
    </row>
    <row r="95" spans="1:12" x14ac:dyDescent="0.2">
      <c r="A95" s="198" t="s">
        <v>280</v>
      </c>
      <c r="B95" s="73" t="s">
        <v>74</v>
      </c>
      <c r="C95" s="85" t="s">
        <v>46</v>
      </c>
      <c r="D95" s="178" t="s">
        <v>66</v>
      </c>
      <c r="E95" t="s">
        <v>282</v>
      </c>
      <c r="F95">
        <v>9.2340000000000005E-2</v>
      </c>
      <c r="G95">
        <v>0.46214</v>
      </c>
      <c r="H95">
        <v>0.2</v>
      </c>
      <c r="I95">
        <v>-0.82398419999999994</v>
      </c>
      <c r="J95">
        <v>1.0086728</v>
      </c>
      <c r="K95">
        <v>0.84199999999999997</v>
      </c>
    </row>
    <row r="96" spans="1:12" x14ac:dyDescent="0.2">
      <c r="A96" s="196" t="s">
        <v>280</v>
      </c>
      <c r="B96" s="44" t="s">
        <v>74</v>
      </c>
      <c r="C96" s="87" t="s">
        <v>46</v>
      </c>
      <c r="D96" s="76" t="s">
        <v>64</v>
      </c>
      <c r="E96" s="102" t="s">
        <v>286</v>
      </c>
      <c r="F96" s="92">
        <v>-0.5736</v>
      </c>
      <c r="G96" s="92">
        <v>0.56779999999999997</v>
      </c>
      <c r="H96" s="92">
        <v>-1.01</v>
      </c>
      <c r="I96" s="76">
        <v>-1.7055728999999999</v>
      </c>
      <c r="J96" s="92">
        <v>0.55832930000000003</v>
      </c>
      <c r="K96" s="92">
        <v>0.316</v>
      </c>
      <c r="L96" s="96"/>
    </row>
    <row r="97" spans="1:12" x14ac:dyDescent="0.2">
      <c r="A97" s="196" t="s">
        <v>280</v>
      </c>
      <c r="B97" s="44" t="s">
        <v>74</v>
      </c>
      <c r="C97" s="87" t="s">
        <v>46</v>
      </c>
      <c r="D97" s="109" t="s">
        <v>65</v>
      </c>
      <c r="E97" s="164" t="s">
        <v>282</v>
      </c>
      <c r="F97" s="164">
        <v>1.8742000000000001</v>
      </c>
      <c r="G97" s="164">
        <v>0.71109999999999995</v>
      </c>
      <c r="H97" s="164">
        <v>2.6360000000000001</v>
      </c>
      <c r="I97" s="164">
        <v>0.42392239999999998</v>
      </c>
      <c r="J97" s="164">
        <v>3.3244335</v>
      </c>
      <c r="K97" s="164">
        <v>1.2999999999999999E-2</v>
      </c>
      <c r="L97" s="165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605E-920E-A641-BA8F-9FDA06ADDB8F}">
  <dimension ref="A1:K110"/>
  <sheetViews>
    <sheetView tabSelected="1" zoomScale="160" zoomScaleNormal="160" workbookViewId="0">
      <selection activeCell="J108" sqref="J108"/>
    </sheetView>
  </sheetViews>
  <sheetFormatPr baseColWidth="10" defaultRowHeight="16" x14ac:dyDescent="0.2"/>
  <cols>
    <col min="1" max="1" width="11" customWidth="1"/>
    <col min="4" max="4" width="1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236</v>
      </c>
      <c r="I1" t="s">
        <v>237</v>
      </c>
      <c r="J1" t="s">
        <v>42</v>
      </c>
      <c r="K1" t="s">
        <v>43</v>
      </c>
    </row>
    <row r="2" spans="1:11" x14ac:dyDescent="0.2">
      <c r="A2" s="1" t="s">
        <v>10</v>
      </c>
      <c r="B2" s="13" t="s">
        <v>11</v>
      </c>
      <c r="C2" t="s">
        <v>12</v>
      </c>
      <c r="D2">
        <v>-0.61772119193658404</v>
      </c>
      <c r="E2" s="52" t="s">
        <v>120</v>
      </c>
      <c r="F2">
        <v>-2.6648650947528001</v>
      </c>
      <c r="G2">
        <v>8.9178868475417901E-3</v>
      </c>
      <c r="H2">
        <v>-1.0720532099361699</v>
      </c>
      <c r="I2">
        <v>-0.16338917393699701</v>
      </c>
      <c r="J2" t="s">
        <v>45</v>
      </c>
      <c r="K2" s="9" t="s">
        <v>48</v>
      </c>
    </row>
    <row r="3" spans="1:11" x14ac:dyDescent="0.2">
      <c r="A3" s="1" t="s">
        <v>10</v>
      </c>
      <c r="B3" s="54" t="s">
        <v>17</v>
      </c>
      <c r="C3" t="s">
        <v>12</v>
      </c>
      <c r="D3">
        <v>-0.60825251854585405</v>
      </c>
      <c r="E3" s="52" t="s">
        <v>142</v>
      </c>
      <c r="F3">
        <v>-2.3393234596041599</v>
      </c>
      <c r="G3">
        <v>2.1211129463681699E-2</v>
      </c>
      <c r="H3">
        <v>-1.1178763294196199</v>
      </c>
      <c r="I3">
        <v>-9.8628707672088894E-2</v>
      </c>
      <c r="J3" t="s">
        <v>44</v>
      </c>
      <c r="K3" s="58" t="s">
        <v>49</v>
      </c>
    </row>
    <row r="4" spans="1:11" x14ac:dyDescent="0.2">
      <c r="A4" s="1" t="s">
        <v>10</v>
      </c>
      <c r="B4" s="14" t="s">
        <v>13</v>
      </c>
      <c r="C4" t="s">
        <v>12</v>
      </c>
      <c r="D4">
        <v>-0.52366977879317</v>
      </c>
      <c r="E4" s="52" t="s">
        <v>145</v>
      </c>
      <c r="F4">
        <v>-2.2853229426526398</v>
      </c>
      <c r="G4" s="52" t="s">
        <v>146</v>
      </c>
      <c r="H4">
        <v>-0.972793509745282</v>
      </c>
      <c r="I4">
        <v>-7.4546047841059102E-2</v>
      </c>
      <c r="J4" t="s">
        <v>45</v>
      </c>
      <c r="K4" s="9" t="s">
        <v>48</v>
      </c>
    </row>
    <row r="5" spans="1:11" x14ac:dyDescent="0.2">
      <c r="A5" s="1" t="s">
        <v>10</v>
      </c>
      <c r="B5" s="55" t="s">
        <v>19</v>
      </c>
      <c r="C5" t="s">
        <v>12</v>
      </c>
      <c r="D5" s="52" t="s">
        <v>152</v>
      </c>
      <c r="E5" s="52" t="s">
        <v>153</v>
      </c>
      <c r="F5" s="52" t="s">
        <v>154</v>
      </c>
      <c r="G5" s="52" t="s">
        <v>155</v>
      </c>
      <c r="H5">
        <v>5.5126688175908302E-2</v>
      </c>
      <c r="I5">
        <v>0.83219107890311605</v>
      </c>
      <c r="J5" s="52" t="s">
        <v>46</v>
      </c>
      <c r="K5" s="58" t="s">
        <v>49</v>
      </c>
    </row>
    <row r="6" spans="1:11" x14ac:dyDescent="0.2">
      <c r="A6" s="1" t="s">
        <v>10</v>
      </c>
      <c r="B6" s="9" t="s">
        <v>21</v>
      </c>
      <c r="C6" t="s">
        <v>12</v>
      </c>
      <c r="D6">
        <v>-0.54720705988097595</v>
      </c>
      <c r="E6" s="52" t="s">
        <v>172</v>
      </c>
      <c r="F6">
        <v>-2.1286176170142501</v>
      </c>
      <c r="G6">
        <v>3.5624772451653602E-2</v>
      </c>
      <c r="H6">
        <v>-1.05106732524471</v>
      </c>
      <c r="I6">
        <v>-4.3346794517245997E-2</v>
      </c>
      <c r="J6" t="s">
        <v>44</v>
      </c>
      <c r="K6" s="59" t="s">
        <v>48</v>
      </c>
    </row>
    <row r="7" spans="1:11" hidden="1" x14ac:dyDescent="0.2">
      <c r="A7" s="4" t="s">
        <v>84</v>
      </c>
      <c r="B7" s="13" t="s">
        <v>11</v>
      </c>
      <c r="C7" t="s">
        <v>135</v>
      </c>
      <c r="D7">
        <v>-0.60407465979999897</v>
      </c>
      <c r="E7" s="52" t="s">
        <v>136</v>
      </c>
      <c r="F7">
        <v>-2.3660652492571499</v>
      </c>
      <c r="G7" s="52" t="s">
        <v>137</v>
      </c>
      <c r="H7">
        <v>-1.10447773768626</v>
      </c>
      <c r="I7">
        <v>-0.103671581913741</v>
      </c>
      <c r="J7" t="s">
        <v>45</v>
      </c>
      <c r="K7" s="9" t="s">
        <v>48</v>
      </c>
    </row>
    <row r="8" spans="1:11" hidden="1" x14ac:dyDescent="0.2">
      <c r="A8" s="4" t="s">
        <v>84</v>
      </c>
      <c r="B8" s="14" t="s">
        <v>13</v>
      </c>
      <c r="C8" t="s">
        <v>143</v>
      </c>
      <c r="D8">
        <v>-0.69372638776761797</v>
      </c>
      <c r="E8" s="52" t="s">
        <v>144</v>
      </c>
      <c r="F8">
        <v>-2.3258849797546399</v>
      </c>
      <c r="G8">
        <v>2.1984140401801799E-2</v>
      </c>
      <c r="H8">
        <v>-1.2783226734222799</v>
      </c>
      <c r="I8">
        <v>-0.109130102112958</v>
      </c>
      <c r="J8" t="s">
        <v>45</v>
      </c>
      <c r="K8" s="9" t="s">
        <v>48</v>
      </c>
    </row>
    <row r="9" spans="1:11" hidden="1" x14ac:dyDescent="0.2">
      <c r="A9" s="4" t="s">
        <v>84</v>
      </c>
      <c r="B9" s="13" t="s">
        <v>11</v>
      </c>
      <c r="C9" t="s">
        <v>88</v>
      </c>
      <c r="D9">
        <v>-0.71288268664999799</v>
      </c>
      <c r="E9" s="52" t="s">
        <v>162</v>
      </c>
      <c r="F9">
        <v>-2.1755295795383001</v>
      </c>
      <c r="G9" s="52" t="s">
        <v>163</v>
      </c>
      <c r="H9">
        <v>-1.3551401300677699</v>
      </c>
      <c r="I9">
        <v>-7.0625243232235804E-2</v>
      </c>
      <c r="J9" t="s">
        <v>45</v>
      </c>
      <c r="K9" s="9" t="s">
        <v>48</v>
      </c>
    </row>
    <row r="10" spans="1:11" hidden="1" x14ac:dyDescent="0.2">
      <c r="A10" s="4" t="s">
        <v>84</v>
      </c>
      <c r="B10" s="127" t="s">
        <v>17</v>
      </c>
      <c r="C10" t="s">
        <v>135</v>
      </c>
      <c r="D10">
        <v>-0.59425804388000003</v>
      </c>
      <c r="E10" s="52" t="s">
        <v>182</v>
      </c>
      <c r="F10">
        <v>-2.0737461567964899</v>
      </c>
      <c r="G10">
        <v>4.0597453768871798E-2</v>
      </c>
      <c r="H10">
        <v>-1.15592069588177</v>
      </c>
      <c r="I10">
        <v>-3.25953918782277E-2</v>
      </c>
      <c r="J10" t="s">
        <v>44</v>
      </c>
      <c r="K10" s="58" t="s">
        <v>49</v>
      </c>
    </row>
    <row r="11" spans="1:11" hidden="1" x14ac:dyDescent="0.2">
      <c r="A11" s="4" t="s">
        <v>85</v>
      </c>
      <c r="B11" s="13" t="s">
        <v>11</v>
      </c>
      <c r="C11" t="s">
        <v>183</v>
      </c>
      <c r="D11">
        <v>-0.47159415236935998</v>
      </c>
      <c r="E11" s="52" t="s">
        <v>184</v>
      </c>
      <c r="F11">
        <v>-2.0685296021658299</v>
      </c>
      <c r="G11">
        <v>4.1094970677850798E-2</v>
      </c>
      <c r="H11">
        <v>-0.91844516077462801</v>
      </c>
      <c r="I11">
        <v>-2.4743143964093699E-2</v>
      </c>
      <c r="J11" t="s">
        <v>45</v>
      </c>
      <c r="K11" s="9" t="s">
        <v>48</v>
      </c>
    </row>
    <row r="12" spans="1:11" hidden="1" x14ac:dyDescent="0.2">
      <c r="A12" s="70" t="s">
        <v>275</v>
      </c>
      <c r="B12" s="13" t="s">
        <v>11</v>
      </c>
      <c r="C12" t="s">
        <v>275</v>
      </c>
      <c r="D12">
        <v>0.19823939245429201</v>
      </c>
      <c r="E12">
        <v>9.3551999163155694E-2</v>
      </c>
      <c r="F12">
        <v>2.11902892752255</v>
      </c>
      <c r="G12">
        <v>3.6446110588913602E-2</v>
      </c>
      <c r="H12">
        <v>1.48774740945068E-2</v>
      </c>
      <c r="I12">
        <v>0.381601310814077</v>
      </c>
      <c r="J12" t="s">
        <v>45</v>
      </c>
      <c r="K12" s="9" t="s">
        <v>48</v>
      </c>
    </row>
    <row r="13" spans="1:11" hidden="1" x14ac:dyDescent="0.2">
      <c r="A13" s="70" t="s">
        <v>275</v>
      </c>
      <c r="B13" s="14" t="s">
        <v>13</v>
      </c>
      <c r="C13" t="s">
        <v>275</v>
      </c>
      <c r="D13">
        <v>0.19365647543915901</v>
      </c>
      <c r="E13">
        <v>9.1714629700868605E-2</v>
      </c>
      <c r="F13">
        <v>2.1115112831047602</v>
      </c>
      <c r="G13">
        <v>3.7101447244620299E-2</v>
      </c>
      <c r="H13">
        <v>1.3895801225456399E-2</v>
      </c>
      <c r="I13">
        <v>0.37341714965286099</v>
      </c>
      <c r="J13" t="s">
        <v>45</v>
      </c>
      <c r="K13" s="9" t="s">
        <v>48</v>
      </c>
    </row>
    <row r="14" spans="1:11" hidden="1" x14ac:dyDescent="0.2">
      <c r="A14" s="70" t="s">
        <v>275</v>
      </c>
      <c r="B14" s="193" t="s">
        <v>19</v>
      </c>
      <c r="C14" t="s">
        <v>275</v>
      </c>
      <c r="D14">
        <v>-0.161111735430778</v>
      </c>
      <c r="E14">
        <v>7.9387787362144496E-2</v>
      </c>
      <c r="F14">
        <v>-2.0294272051673601</v>
      </c>
      <c r="G14">
        <v>4.49444557942432E-2</v>
      </c>
      <c r="H14">
        <v>-0.31671179866058102</v>
      </c>
      <c r="I14">
        <v>-5.5116722009744797E-3</v>
      </c>
      <c r="J14" s="52" t="s">
        <v>46</v>
      </c>
      <c r="K14" s="58" t="s">
        <v>49</v>
      </c>
    </row>
    <row r="15" spans="1:11" hidden="1" x14ac:dyDescent="0.2">
      <c r="A15" s="56" t="s">
        <v>208</v>
      </c>
      <c r="B15" s="8" t="s">
        <v>22</v>
      </c>
      <c r="C15" t="s">
        <v>209</v>
      </c>
      <c r="D15">
        <v>2.43119515297917</v>
      </c>
      <c r="E15">
        <v>0.84720644742237405</v>
      </c>
      <c r="F15">
        <v>2.8696608251460698</v>
      </c>
      <c r="G15">
        <v>5.02407012595251E-3</v>
      </c>
      <c r="H15">
        <v>0.77067051603131098</v>
      </c>
      <c r="I15">
        <v>4.0917197899270201</v>
      </c>
      <c r="J15" t="s">
        <v>47</v>
      </c>
      <c r="K15" s="58" t="s">
        <v>49</v>
      </c>
    </row>
    <row r="16" spans="1:11" hidden="1" x14ac:dyDescent="0.2">
      <c r="A16" s="56" t="s">
        <v>208</v>
      </c>
      <c r="B16" s="8" t="s">
        <v>22</v>
      </c>
      <c r="C16" t="s">
        <v>218</v>
      </c>
      <c r="D16">
        <v>0.484174456920342</v>
      </c>
      <c r="E16">
        <v>0.236659220546935</v>
      </c>
      <c r="F16">
        <v>2.0458719326522901</v>
      </c>
      <c r="G16">
        <v>4.3420685576236802E-2</v>
      </c>
      <c r="H16">
        <v>2.0322384648348901E-2</v>
      </c>
      <c r="I16">
        <v>0.94802652919233599</v>
      </c>
      <c r="J16" t="s">
        <v>47</v>
      </c>
      <c r="K16" s="58" t="s">
        <v>49</v>
      </c>
    </row>
    <row r="17" spans="1:11" hidden="1" x14ac:dyDescent="0.2">
      <c r="A17" s="62" t="s">
        <v>212</v>
      </c>
      <c r="B17" s="64" t="s">
        <v>31</v>
      </c>
      <c r="C17" t="s">
        <v>213</v>
      </c>
      <c r="D17">
        <v>-0.43714900972126403</v>
      </c>
      <c r="E17">
        <v>0.18052167495750299</v>
      </c>
      <c r="F17">
        <v>-2.4215873790456199</v>
      </c>
      <c r="G17">
        <v>1.71839427736179E-2</v>
      </c>
      <c r="H17">
        <v>-0.79097149263796995</v>
      </c>
      <c r="I17">
        <v>-8.3326526804558307E-2</v>
      </c>
    </row>
    <row r="18" spans="1:11" hidden="1" x14ac:dyDescent="0.2">
      <c r="A18" s="58" t="s">
        <v>206</v>
      </c>
      <c r="B18" s="17" t="s">
        <v>34</v>
      </c>
      <c r="C18" t="s">
        <v>207</v>
      </c>
      <c r="D18">
        <v>-1.2419490467000001</v>
      </c>
      <c r="E18">
        <v>0.41291045253119901</v>
      </c>
      <c r="F18">
        <v>-3.0077927044149102</v>
      </c>
      <c r="G18">
        <v>3.32888286421995E-3</v>
      </c>
      <c r="H18">
        <v>-2.0512535336611499</v>
      </c>
      <c r="I18">
        <v>-0.43264455973884902</v>
      </c>
    </row>
    <row r="19" spans="1:11" hidden="1" x14ac:dyDescent="0.2">
      <c r="A19" s="58" t="s">
        <v>206</v>
      </c>
      <c r="B19" s="65" t="s">
        <v>33</v>
      </c>
      <c r="C19" t="s">
        <v>210</v>
      </c>
      <c r="D19">
        <v>-1.3412375573517299</v>
      </c>
      <c r="E19">
        <v>0.48789924860664802</v>
      </c>
      <c r="F19">
        <v>-2.74900517101032</v>
      </c>
      <c r="G19">
        <v>7.0940909327355701E-3</v>
      </c>
      <c r="H19">
        <v>-2.29752008462075</v>
      </c>
      <c r="I19">
        <v>-0.38495503008269499</v>
      </c>
    </row>
    <row r="20" spans="1:11" hidden="1" x14ac:dyDescent="0.2">
      <c r="A20" s="58" t="s">
        <v>206</v>
      </c>
      <c r="B20" s="65" t="s">
        <v>33</v>
      </c>
      <c r="C20" t="s">
        <v>207</v>
      </c>
      <c r="D20">
        <v>-1.25087264752222</v>
      </c>
      <c r="E20">
        <v>0.48087297191460898</v>
      </c>
      <c r="F20">
        <v>-2.6012538041841702</v>
      </c>
      <c r="G20">
        <v>1.0697158033772801E-2</v>
      </c>
      <c r="H20">
        <v>-2.1933836724748601</v>
      </c>
      <c r="I20">
        <v>-0.30836162256958999</v>
      </c>
    </row>
    <row r="21" spans="1:11" hidden="1" x14ac:dyDescent="0.2">
      <c r="A21" s="58" t="s">
        <v>206</v>
      </c>
      <c r="B21" s="10" t="s">
        <v>9</v>
      </c>
      <c r="C21" t="s">
        <v>211</v>
      </c>
      <c r="D21">
        <v>1.22664686513333</v>
      </c>
      <c r="E21">
        <v>0.47647269127794001</v>
      </c>
      <c r="F21">
        <v>2.5744326749207</v>
      </c>
      <c r="G21">
        <v>1.15057437319072E-2</v>
      </c>
      <c r="H21">
        <v>0.29276039022857098</v>
      </c>
      <c r="I21">
        <v>2.1605333400380902</v>
      </c>
      <c r="J21" t="s">
        <v>44</v>
      </c>
      <c r="K21" s="9" t="s">
        <v>48</v>
      </c>
    </row>
    <row r="22" spans="1:11" hidden="1" x14ac:dyDescent="0.2">
      <c r="A22" s="58" t="s">
        <v>206</v>
      </c>
      <c r="B22" s="17" t="s">
        <v>34</v>
      </c>
      <c r="C22" t="s">
        <v>210</v>
      </c>
      <c r="D22">
        <v>-1.03421603416552</v>
      </c>
      <c r="E22">
        <v>0.41894369469277798</v>
      </c>
      <c r="F22">
        <v>-2.4686277589735099</v>
      </c>
      <c r="G22">
        <v>1.5259227096907199E-2</v>
      </c>
      <c r="H22">
        <v>-1.85534567576336</v>
      </c>
      <c r="I22">
        <v>-0.21308639256767001</v>
      </c>
    </row>
    <row r="23" spans="1:11" hidden="1" x14ac:dyDescent="0.2">
      <c r="A23" s="58" t="s">
        <v>206</v>
      </c>
      <c r="B23" s="65" t="s">
        <v>33</v>
      </c>
      <c r="C23" t="s">
        <v>214</v>
      </c>
      <c r="D23">
        <v>-1.2314282728769199</v>
      </c>
      <c r="E23">
        <v>0.53021775447482999</v>
      </c>
      <c r="F23">
        <v>-2.32249535683057</v>
      </c>
      <c r="G23">
        <v>2.2233091844312901E-2</v>
      </c>
      <c r="H23">
        <v>-2.2706550716475902</v>
      </c>
      <c r="I23">
        <v>-0.19220147410625699</v>
      </c>
    </row>
    <row r="24" spans="1:11" hidden="1" x14ac:dyDescent="0.2">
      <c r="A24" s="58" t="s">
        <v>206</v>
      </c>
      <c r="B24" s="65" t="s">
        <v>33</v>
      </c>
      <c r="C24" t="s">
        <v>215</v>
      </c>
      <c r="D24">
        <v>-1.3231369535142901</v>
      </c>
      <c r="E24">
        <v>0.58997185349200298</v>
      </c>
      <c r="F24">
        <v>-2.2427119966532798</v>
      </c>
      <c r="G24">
        <v>2.71227901408275E-2</v>
      </c>
      <c r="H24">
        <v>-2.4794817863586101</v>
      </c>
      <c r="I24">
        <v>-0.16679212066995899</v>
      </c>
    </row>
    <row r="25" spans="1:11" hidden="1" x14ac:dyDescent="0.2">
      <c r="A25" s="63" t="s">
        <v>216</v>
      </c>
      <c r="B25" s="55" t="s">
        <v>19</v>
      </c>
      <c r="C25" t="s">
        <v>217</v>
      </c>
      <c r="D25">
        <v>0.36081480823196199</v>
      </c>
      <c r="E25">
        <v>0.17090032964964599</v>
      </c>
      <c r="F25">
        <v>2.1112587024943199</v>
      </c>
      <c r="G25">
        <v>3.7123641071099799E-2</v>
      </c>
      <c r="H25">
        <v>2.58501621186563E-2</v>
      </c>
      <c r="I25">
        <v>0.695779454345269</v>
      </c>
      <c r="J25" s="52" t="s">
        <v>46</v>
      </c>
      <c r="K25" s="58" t="s">
        <v>49</v>
      </c>
    </row>
    <row r="26" spans="1:11" hidden="1" x14ac:dyDescent="0.2">
      <c r="A26" s="63" t="s">
        <v>216</v>
      </c>
      <c r="B26" s="34" t="s">
        <v>14</v>
      </c>
      <c r="C26" t="s">
        <v>217</v>
      </c>
      <c r="D26">
        <v>-0.39399864645093802</v>
      </c>
      <c r="E26">
        <v>0.194961730574681</v>
      </c>
      <c r="F26">
        <v>-2.0209024883476601</v>
      </c>
      <c r="G26">
        <v>4.5834964692411398E-2</v>
      </c>
      <c r="H26">
        <v>-0.77612363837731202</v>
      </c>
      <c r="I26">
        <v>-1.1873654524563701E-2</v>
      </c>
      <c r="J26" t="s">
        <v>44</v>
      </c>
      <c r="K26" s="9" t="s">
        <v>48</v>
      </c>
    </row>
    <row r="27" spans="1:11" hidden="1" x14ac:dyDescent="0.2">
      <c r="A27" s="7" t="s">
        <v>8</v>
      </c>
      <c r="B27" s="10" t="s">
        <v>9</v>
      </c>
      <c r="C27" t="s">
        <v>8</v>
      </c>
      <c r="D27">
        <v>-0.49027390348566702</v>
      </c>
      <c r="E27" s="52" t="s">
        <v>119</v>
      </c>
      <c r="F27">
        <v>-2.7101604579487</v>
      </c>
      <c r="G27">
        <v>7.85639083477329E-3</v>
      </c>
      <c r="H27">
        <v>-0.84484215349962999</v>
      </c>
      <c r="I27">
        <v>-0.13570565347170599</v>
      </c>
      <c r="J27" t="s">
        <v>44</v>
      </c>
      <c r="K27" s="9" t="s">
        <v>48</v>
      </c>
    </row>
    <row r="28" spans="1:11" hidden="1" x14ac:dyDescent="0.2">
      <c r="A28" s="7" t="s">
        <v>8</v>
      </c>
      <c r="B28" s="8" t="s">
        <v>22</v>
      </c>
      <c r="C28" t="s">
        <v>8</v>
      </c>
      <c r="D28" s="52" t="s">
        <v>173</v>
      </c>
      <c r="E28" s="52" t="s">
        <v>174</v>
      </c>
      <c r="F28" s="52" t="s">
        <v>175</v>
      </c>
      <c r="G28">
        <v>3.5931878019585702E-2</v>
      </c>
      <c r="H28">
        <v>2.97786010243574E-2</v>
      </c>
      <c r="I28">
        <v>0.73720242101495304</v>
      </c>
      <c r="J28" t="s">
        <v>47</v>
      </c>
      <c r="K28" s="58" t="s">
        <v>49</v>
      </c>
    </row>
    <row r="29" spans="1:11" hidden="1" x14ac:dyDescent="0.2">
      <c r="A29" s="7" t="s">
        <v>8</v>
      </c>
      <c r="B29" s="13" t="s">
        <v>11</v>
      </c>
      <c r="C29" t="s">
        <v>8</v>
      </c>
      <c r="D29">
        <v>-0.42977206034357002</v>
      </c>
      <c r="E29" s="52" t="s">
        <v>193</v>
      </c>
      <c r="F29">
        <v>-1.9951985092447599</v>
      </c>
      <c r="G29">
        <v>4.8611843109288802E-2</v>
      </c>
      <c r="H29">
        <v>-0.85196225062807096</v>
      </c>
      <c r="I29">
        <v>-7.5818700590706799E-3</v>
      </c>
      <c r="J29" t="s">
        <v>45</v>
      </c>
      <c r="K29" s="9" t="s">
        <v>48</v>
      </c>
    </row>
    <row r="30" spans="1:11" hidden="1" x14ac:dyDescent="0.2">
      <c r="A30" s="19" t="s">
        <v>27</v>
      </c>
      <c r="B30" s="8" t="s">
        <v>22</v>
      </c>
      <c r="C30" t="s">
        <v>28</v>
      </c>
      <c r="D30" s="52" t="s">
        <v>113</v>
      </c>
      <c r="E30" s="52" t="s">
        <v>114</v>
      </c>
      <c r="F30" s="52" t="s">
        <v>115</v>
      </c>
      <c r="G30">
        <v>5.24623664732639E-3</v>
      </c>
      <c r="H30">
        <v>0.35013476080101402</v>
      </c>
      <c r="I30">
        <v>1.8873022412746601</v>
      </c>
      <c r="J30" t="s">
        <v>47</v>
      </c>
      <c r="K30" s="58" t="s">
        <v>49</v>
      </c>
    </row>
    <row r="31" spans="1:11" hidden="1" x14ac:dyDescent="0.2">
      <c r="A31" s="19" t="s">
        <v>27</v>
      </c>
      <c r="B31" s="10" t="s">
        <v>9</v>
      </c>
      <c r="C31" t="s">
        <v>32</v>
      </c>
      <c r="D31">
        <v>-0.49233566046063398</v>
      </c>
      <c r="E31" s="52" t="s">
        <v>133</v>
      </c>
      <c r="F31">
        <v>-2.3710099796304198</v>
      </c>
      <c r="G31" s="52" t="s">
        <v>134</v>
      </c>
      <c r="H31">
        <v>-0.89932588943185898</v>
      </c>
      <c r="I31">
        <v>-8.5345431489410095E-2</v>
      </c>
      <c r="J31" t="s">
        <v>44</v>
      </c>
      <c r="K31" s="9" t="s">
        <v>48</v>
      </c>
    </row>
    <row r="32" spans="1:11" hidden="1" x14ac:dyDescent="0.2">
      <c r="A32" s="19" t="s">
        <v>27</v>
      </c>
      <c r="B32" s="34" t="s">
        <v>14</v>
      </c>
      <c r="C32" t="s">
        <v>35</v>
      </c>
      <c r="D32">
        <v>-1.0870549014662101</v>
      </c>
      <c r="E32" s="52" t="s">
        <v>171</v>
      </c>
      <c r="F32">
        <v>-2.1383759223930401</v>
      </c>
      <c r="G32">
        <v>3.48741438959791E-2</v>
      </c>
      <c r="H32">
        <v>-2.0834314433837902</v>
      </c>
      <c r="I32">
        <v>-9.0678359548643603E-2</v>
      </c>
      <c r="J32" t="s">
        <v>44</v>
      </c>
      <c r="K32" s="9" t="s">
        <v>48</v>
      </c>
    </row>
    <row r="33" spans="1:11" hidden="1" x14ac:dyDescent="0.2">
      <c r="A33" s="19" t="s">
        <v>27</v>
      </c>
      <c r="B33" s="13" t="s">
        <v>11</v>
      </c>
      <c r="C33" t="s">
        <v>35</v>
      </c>
      <c r="D33">
        <v>-1.12256723704054</v>
      </c>
      <c r="E33" s="52" t="s">
        <v>176</v>
      </c>
      <c r="F33">
        <v>-2.1247461250041901</v>
      </c>
      <c r="G33">
        <v>3.6023979541457599E-2</v>
      </c>
      <c r="H33">
        <v>-2.15809414479999</v>
      </c>
      <c r="I33">
        <v>-8.7040329281092593E-2</v>
      </c>
      <c r="J33" t="s">
        <v>45</v>
      </c>
      <c r="K33" s="9" t="s">
        <v>48</v>
      </c>
    </row>
    <row r="34" spans="1:11" hidden="1" x14ac:dyDescent="0.2">
      <c r="A34" s="19" t="s">
        <v>27</v>
      </c>
      <c r="B34" s="15" t="s">
        <v>18</v>
      </c>
      <c r="C34" t="s">
        <v>35</v>
      </c>
      <c r="D34">
        <v>-1.04707496241216</v>
      </c>
      <c r="E34" s="52" t="s">
        <v>188</v>
      </c>
      <c r="F34">
        <v>-2.0336984461952499</v>
      </c>
      <c r="G34">
        <v>4.4578416352104702E-2</v>
      </c>
      <c r="H34">
        <v>-2.0562053623332099</v>
      </c>
      <c r="I34">
        <v>-3.7944562491112999E-2</v>
      </c>
      <c r="J34" s="52" t="s">
        <v>46</v>
      </c>
      <c r="K34" s="57" t="s">
        <v>199</v>
      </c>
    </row>
    <row r="35" spans="1:11" hidden="1" x14ac:dyDescent="0.2">
      <c r="A35" s="19" t="s">
        <v>27</v>
      </c>
      <c r="B35" s="10" t="s">
        <v>9</v>
      </c>
      <c r="C35" t="s">
        <v>35</v>
      </c>
      <c r="D35">
        <v>-0.89468849099324299</v>
      </c>
      <c r="E35">
        <v>0.44650185550223098</v>
      </c>
      <c r="F35">
        <v>-2.0037732877658101</v>
      </c>
      <c r="G35">
        <v>4.7746050333080998E-2</v>
      </c>
      <c r="H35">
        <v>-1.7698321277776199</v>
      </c>
      <c r="I35">
        <v>-1.9544854208870598E-2</v>
      </c>
      <c r="J35" t="s">
        <v>44</v>
      </c>
      <c r="K35" s="9" t="s">
        <v>48</v>
      </c>
    </row>
    <row r="36" spans="1:11" hidden="1" x14ac:dyDescent="0.2">
      <c r="A36" s="2" t="s">
        <v>23</v>
      </c>
      <c r="B36" s="15" t="s">
        <v>18</v>
      </c>
      <c r="C36" t="s">
        <v>24</v>
      </c>
      <c r="D36" s="52" t="s">
        <v>185</v>
      </c>
      <c r="E36" s="52" t="s">
        <v>186</v>
      </c>
      <c r="F36" s="52" t="s">
        <v>187</v>
      </c>
      <c r="G36">
        <v>4.2206474976332502E-2</v>
      </c>
      <c r="H36">
        <v>4.0497915496603303E-2</v>
      </c>
      <c r="I36">
        <v>1.68431225404135</v>
      </c>
      <c r="J36" s="52" t="s">
        <v>46</v>
      </c>
      <c r="K36" s="57" t="s">
        <v>199</v>
      </c>
    </row>
    <row r="37" spans="1:11" hidden="1" x14ac:dyDescent="0.2">
      <c r="A37" s="6" t="s">
        <v>78</v>
      </c>
      <c r="B37" s="10" t="s">
        <v>9</v>
      </c>
      <c r="C37" t="s">
        <v>79</v>
      </c>
      <c r="D37">
        <v>-0.88435234420512998</v>
      </c>
      <c r="E37" s="52" t="s">
        <v>156</v>
      </c>
      <c r="F37">
        <v>-2.2367869307940902</v>
      </c>
      <c r="G37" s="52" t="s">
        <v>157</v>
      </c>
      <c r="H37">
        <v>-1.6592721949871101</v>
      </c>
      <c r="I37">
        <v>-0.109432493423142</v>
      </c>
      <c r="J37" t="s">
        <v>44</v>
      </c>
      <c r="K37" s="9" t="s">
        <v>48</v>
      </c>
    </row>
    <row r="38" spans="1:11" hidden="1" x14ac:dyDescent="0.2">
      <c r="A38" s="6" t="s">
        <v>78</v>
      </c>
      <c r="B38" s="11" t="s">
        <v>7</v>
      </c>
      <c r="C38" t="s">
        <v>79</v>
      </c>
      <c r="D38">
        <v>-0.86465120280769403</v>
      </c>
      <c r="E38" s="52" t="s">
        <v>177</v>
      </c>
      <c r="F38">
        <v>-2.1241953653271999</v>
      </c>
      <c r="G38" s="52" t="s">
        <v>178</v>
      </c>
      <c r="H38">
        <v>-1.6624668769992299</v>
      </c>
      <c r="I38">
        <v>-6.6835528616146E-2</v>
      </c>
      <c r="J38" t="s">
        <v>44</v>
      </c>
      <c r="K38" s="9" t="s">
        <v>48</v>
      </c>
    </row>
    <row r="39" spans="1:11" hidden="1" x14ac:dyDescent="0.2">
      <c r="A39" s="6" t="s">
        <v>78</v>
      </c>
      <c r="B39" s="13" t="s">
        <v>11</v>
      </c>
      <c r="C39" t="s">
        <v>79</v>
      </c>
      <c r="D39">
        <v>-0.96912714234615605</v>
      </c>
      <c r="E39">
        <v>0.46650032628765697</v>
      </c>
      <c r="F39">
        <v>-2.0774415101878501</v>
      </c>
      <c r="G39">
        <v>4.0248160444846602E-2</v>
      </c>
      <c r="H39">
        <v>-1.8834677818699599</v>
      </c>
      <c r="I39">
        <v>-5.4786502822347101E-2</v>
      </c>
      <c r="J39" t="s">
        <v>45</v>
      </c>
      <c r="K39" s="9" t="s">
        <v>48</v>
      </c>
    </row>
    <row r="40" spans="1:11" hidden="1" x14ac:dyDescent="0.2">
      <c r="A40" s="40" t="s">
        <v>77</v>
      </c>
      <c r="B40" s="10" t="s">
        <v>9</v>
      </c>
      <c r="C40" t="s">
        <v>128</v>
      </c>
      <c r="D40">
        <v>-0.66165861041569196</v>
      </c>
      <c r="E40" s="52" t="s">
        <v>129</v>
      </c>
      <c r="F40">
        <v>-2.45239325184113</v>
      </c>
      <c r="G40" s="52" t="s">
        <v>130</v>
      </c>
      <c r="H40">
        <v>-1.19046893699816</v>
      </c>
      <c r="I40">
        <v>-0.132848283833223</v>
      </c>
      <c r="J40" t="s">
        <v>44</v>
      </c>
      <c r="K40" s="9" t="s">
        <v>48</v>
      </c>
    </row>
    <row r="41" spans="1:11" hidden="1" x14ac:dyDescent="0.2">
      <c r="A41" s="40" t="s">
        <v>77</v>
      </c>
      <c r="B41" s="11" t="s">
        <v>7</v>
      </c>
      <c r="C41" t="s">
        <v>128</v>
      </c>
      <c r="D41">
        <v>-0.62120242182956897</v>
      </c>
      <c r="E41" s="52" t="s">
        <v>158</v>
      </c>
      <c r="F41">
        <v>-2.2363692181860899</v>
      </c>
      <c r="G41">
        <v>2.7483793059252699E-2</v>
      </c>
      <c r="H41">
        <v>-1.1656370066399899</v>
      </c>
      <c r="I41">
        <v>-7.6767837019147897E-2</v>
      </c>
      <c r="J41" t="s">
        <v>44</v>
      </c>
      <c r="K41" s="9" t="s">
        <v>48</v>
      </c>
    </row>
    <row r="42" spans="1:11" hidden="1" x14ac:dyDescent="0.2">
      <c r="A42" s="40" t="s">
        <v>77</v>
      </c>
      <c r="B42" s="15" t="s">
        <v>18</v>
      </c>
      <c r="C42" t="s">
        <v>128</v>
      </c>
      <c r="D42">
        <v>-0.64429449038920905</v>
      </c>
      <c r="E42" s="52" t="s">
        <v>180</v>
      </c>
      <c r="F42">
        <v>-2.0868874292229802</v>
      </c>
      <c r="G42" s="52" t="s">
        <v>181</v>
      </c>
      <c r="H42">
        <v>-1.2494144328832</v>
      </c>
      <c r="I42">
        <v>-3.91745478952156E-2</v>
      </c>
      <c r="J42" s="52" t="s">
        <v>46</v>
      </c>
      <c r="K42" s="57" t="s">
        <v>199</v>
      </c>
    </row>
    <row r="43" spans="1:11" hidden="1" x14ac:dyDescent="0.2">
      <c r="A43" s="40" t="s">
        <v>77</v>
      </c>
      <c r="B43" s="13" t="s">
        <v>11</v>
      </c>
      <c r="C43" t="s">
        <v>128</v>
      </c>
      <c r="D43">
        <v>-0.64358347170643104</v>
      </c>
      <c r="E43" s="52" t="s">
        <v>189</v>
      </c>
      <c r="F43">
        <v>-2.0216677771936</v>
      </c>
      <c r="G43">
        <v>4.5804037947723197E-2</v>
      </c>
      <c r="H43">
        <v>-1.2675354477802001</v>
      </c>
      <c r="I43">
        <v>-1.9631495632665901E-2</v>
      </c>
      <c r="J43" t="s">
        <v>45</v>
      </c>
      <c r="K43" s="9" t="s">
        <v>48</v>
      </c>
    </row>
    <row r="44" spans="1:11" x14ac:dyDescent="0.2">
      <c r="A44" s="68" t="s">
        <v>226</v>
      </c>
      <c r="B44" s="10" t="s">
        <v>9</v>
      </c>
      <c r="C44" t="s">
        <v>233</v>
      </c>
      <c r="D44">
        <v>0.44803554486482799</v>
      </c>
      <c r="E44">
        <v>0.19168680088404499</v>
      </c>
      <c r="F44">
        <v>2.3373312236341901</v>
      </c>
      <c r="G44">
        <v>2.1318724655811801E-2</v>
      </c>
      <c r="H44">
        <v>6.6266693225079595E-2</v>
      </c>
      <c r="I44">
        <v>0.84746446959052302</v>
      </c>
      <c r="J44" t="s">
        <v>44</v>
      </c>
      <c r="K44" s="9" t="s">
        <v>48</v>
      </c>
    </row>
    <row r="45" spans="1:11" hidden="1" x14ac:dyDescent="0.2">
      <c r="A45" s="80" t="s">
        <v>247</v>
      </c>
      <c r="B45" s="11" t="s">
        <v>7</v>
      </c>
      <c r="C45" t="s">
        <v>247</v>
      </c>
      <c r="D45">
        <v>0.150516814219816</v>
      </c>
      <c r="E45">
        <v>5.3005851403429997E-2</v>
      </c>
      <c r="F45">
        <v>2.83962638528764</v>
      </c>
      <c r="G45">
        <v>5.42454064634119E-3</v>
      </c>
      <c r="H45">
        <v>4.6625345469092902E-2</v>
      </c>
      <c r="I45">
        <v>0.25440828297053802</v>
      </c>
      <c r="J45" t="s">
        <v>44</v>
      </c>
      <c r="K45" s="59" t="s">
        <v>48</v>
      </c>
    </row>
    <row r="46" spans="1:11" hidden="1" x14ac:dyDescent="0.2">
      <c r="A46" s="80" t="s">
        <v>247</v>
      </c>
      <c r="B46" s="13" t="s">
        <v>11</v>
      </c>
      <c r="C46" t="s">
        <v>247</v>
      </c>
      <c r="D46">
        <v>0.168369433673277</v>
      </c>
      <c r="E46">
        <v>6.0960779253745899E-2</v>
      </c>
      <c r="F46">
        <v>2.7619304696294602</v>
      </c>
      <c r="G46">
        <v>6.7846443596885301E-3</v>
      </c>
      <c r="H46">
        <v>4.8886306335934597E-2</v>
      </c>
      <c r="I46">
        <v>0.28785256101061901</v>
      </c>
      <c r="J46" t="s">
        <v>45</v>
      </c>
      <c r="K46" s="9" t="s">
        <v>48</v>
      </c>
    </row>
    <row r="47" spans="1:11" hidden="1" x14ac:dyDescent="0.2">
      <c r="A47" s="80" t="s">
        <v>247</v>
      </c>
      <c r="B47" s="15" t="s">
        <v>18</v>
      </c>
      <c r="C47" t="s">
        <v>247</v>
      </c>
      <c r="D47">
        <v>0.13906188174710199</v>
      </c>
      <c r="E47">
        <v>5.9777758900232E-2</v>
      </c>
      <c r="F47">
        <v>2.32631474156122</v>
      </c>
      <c r="G47">
        <v>2.1922442557453601E-2</v>
      </c>
      <c r="H47">
        <v>2.18974743026473E-2</v>
      </c>
      <c r="I47">
        <v>0.25622628919155699</v>
      </c>
      <c r="J47" s="52" t="s">
        <v>46</v>
      </c>
      <c r="K47" s="57" t="s">
        <v>199</v>
      </c>
    </row>
    <row r="48" spans="1:11" hidden="1" x14ac:dyDescent="0.2">
      <c r="A48" s="80" t="s">
        <v>247</v>
      </c>
      <c r="B48" s="10" t="s">
        <v>9</v>
      </c>
      <c r="C48" t="s">
        <v>247</v>
      </c>
      <c r="D48">
        <v>0.121497651324114</v>
      </c>
      <c r="E48">
        <v>5.2514101673780698E-2</v>
      </c>
      <c r="F48">
        <v>2.31361953173761</v>
      </c>
      <c r="G48">
        <v>2.2636826028643E-2</v>
      </c>
      <c r="H48">
        <v>1.85700120435036E-2</v>
      </c>
      <c r="I48">
        <v>0.22442529060472399</v>
      </c>
      <c r="J48" t="s">
        <v>44</v>
      </c>
      <c r="K48" s="9" t="s">
        <v>48</v>
      </c>
    </row>
    <row r="49" spans="1:11" hidden="1" x14ac:dyDescent="0.2">
      <c r="A49" s="80" t="s">
        <v>247</v>
      </c>
      <c r="B49" s="12" t="s">
        <v>25</v>
      </c>
      <c r="C49" t="s">
        <v>247</v>
      </c>
      <c r="D49">
        <v>0.13222979585577299</v>
      </c>
      <c r="E49">
        <v>6.2760442330165395E-2</v>
      </c>
      <c r="F49">
        <v>2.1068971305228898</v>
      </c>
      <c r="G49">
        <v>3.7508697155463101E-2</v>
      </c>
      <c r="H49">
        <v>9.2193288886484297E-3</v>
      </c>
      <c r="I49">
        <v>0.25524026282289702</v>
      </c>
      <c r="J49" t="s">
        <v>44</v>
      </c>
      <c r="K49" s="9" t="s">
        <v>48</v>
      </c>
    </row>
    <row r="50" spans="1:11" hidden="1" x14ac:dyDescent="0.2">
      <c r="A50" s="83" t="s">
        <v>234</v>
      </c>
      <c r="B50" s="13" t="s">
        <v>11</v>
      </c>
      <c r="C50" t="s">
        <v>234</v>
      </c>
      <c r="D50">
        <v>0.15136128795015499</v>
      </c>
      <c r="E50">
        <v>4.6349840667132998E-2</v>
      </c>
      <c r="F50">
        <v>3.26562693143164</v>
      </c>
      <c r="G50">
        <v>1.4754832656443399E-3</v>
      </c>
      <c r="H50">
        <v>6.0515600242574401E-2</v>
      </c>
      <c r="I50">
        <v>0.242206975657736</v>
      </c>
      <c r="J50" t="s">
        <v>45</v>
      </c>
      <c r="K50" s="9" t="s">
        <v>48</v>
      </c>
    </row>
    <row r="51" spans="1:11" hidden="1" x14ac:dyDescent="0.2">
      <c r="A51" s="83" t="s">
        <v>234</v>
      </c>
      <c r="B51" s="11" t="s">
        <v>7</v>
      </c>
      <c r="C51" t="s">
        <v>234</v>
      </c>
      <c r="D51">
        <v>0.12334069233690199</v>
      </c>
      <c r="E51">
        <v>4.0635025721160602E-2</v>
      </c>
      <c r="F51">
        <v>3.0353295007925301</v>
      </c>
      <c r="G51">
        <v>3.0296090279921801E-3</v>
      </c>
      <c r="H51">
        <v>4.3696041923426999E-2</v>
      </c>
      <c r="I51">
        <v>0.202985342750377</v>
      </c>
      <c r="J51" t="s">
        <v>44</v>
      </c>
      <c r="K51" s="59" t="s">
        <v>48</v>
      </c>
    </row>
    <row r="52" spans="1:11" hidden="1" x14ac:dyDescent="0.2">
      <c r="A52" s="83" t="s">
        <v>234</v>
      </c>
      <c r="B52" s="15" t="s">
        <v>18</v>
      </c>
      <c r="C52" t="s">
        <v>234</v>
      </c>
      <c r="D52">
        <v>0.114233113253391</v>
      </c>
      <c r="E52">
        <v>4.5896418062569798E-2</v>
      </c>
      <c r="F52">
        <v>2.48893308182915</v>
      </c>
      <c r="G52">
        <v>1.438332398049E-2</v>
      </c>
      <c r="H52">
        <v>2.42761338507539E-2</v>
      </c>
      <c r="I52">
        <v>0.204190092656028</v>
      </c>
      <c r="J52" s="52" t="s">
        <v>46</v>
      </c>
      <c r="K52" s="57" t="s">
        <v>199</v>
      </c>
    </row>
    <row r="53" spans="1:11" hidden="1" x14ac:dyDescent="0.2">
      <c r="A53" s="83" t="s">
        <v>234</v>
      </c>
      <c r="B53" s="14" t="s">
        <v>13</v>
      </c>
      <c r="C53" t="s">
        <v>234</v>
      </c>
      <c r="D53">
        <v>0.11272626575321</v>
      </c>
      <c r="E53">
        <v>4.63980069700239E-2</v>
      </c>
      <c r="F53">
        <v>2.42954973962649</v>
      </c>
      <c r="G53">
        <v>1.6814737403730899E-2</v>
      </c>
      <c r="H53">
        <v>2.1786172091962801E-2</v>
      </c>
      <c r="I53">
        <v>0.20366635941445699</v>
      </c>
      <c r="J53" t="s">
        <v>45</v>
      </c>
      <c r="K53" s="9" t="s">
        <v>48</v>
      </c>
    </row>
    <row r="54" spans="1:11" hidden="1" x14ac:dyDescent="0.2">
      <c r="A54" s="83" t="s">
        <v>234</v>
      </c>
      <c r="B54" s="12" t="s">
        <v>25</v>
      </c>
      <c r="C54" t="s">
        <v>234</v>
      </c>
      <c r="D54">
        <v>0.114356196838753</v>
      </c>
      <c r="E54">
        <v>4.8090714088036501E-2</v>
      </c>
      <c r="F54">
        <v>2.3779267787417102</v>
      </c>
      <c r="G54">
        <v>1.9218921846554601E-2</v>
      </c>
      <c r="H54">
        <v>2.0098397226201499E-2</v>
      </c>
      <c r="I54">
        <v>0.20861399645130499</v>
      </c>
      <c r="J54" t="s">
        <v>44</v>
      </c>
      <c r="K54" s="9" t="s">
        <v>48</v>
      </c>
    </row>
    <row r="55" spans="1:11" hidden="1" x14ac:dyDescent="0.2">
      <c r="A55" s="83" t="s">
        <v>234</v>
      </c>
      <c r="B55" s="56" t="s">
        <v>20</v>
      </c>
      <c r="C55" t="s">
        <v>234</v>
      </c>
      <c r="D55">
        <v>0.105390161634644</v>
      </c>
      <c r="E55">
        <v>4.8326118735995301E-2</v>
      </c>
      <c r="F55">
        <v>2.1808116271531799</v>
      </c>
      <c r="G55">
        <v>3.1429263994410803E-2</v>
      </c>
      <c r="H55">
        <v>1.06709689120931E-2</v>
      </c>
      <c r="I55">
        <v>0.20010935435719501</v>
      </c>
    </row>
    <row r="56" spans="1:11" hidden="1" x14ac:dyDescent="0.2">
      <c r="A56" s="83" t="s">
        <v>234</v>
      </c>
      <c r="B56" s="10" t="s">
        <v>9</v>
      </c>
      <c r="C56" t="s">
        <v>234</v>
      </c>
      <c r="D56">
        <v>8.8065903766249495E-2</v>
      </c>
      <c r="E56">
        <v>4.0580675712000497E-2</v>
      </c>
      <c r="F56">
        <v>2.1701438485462798</v>
      </c>
      <c r="G56">
        <v>3.2250008520392101E-2</v>
      </c>
      <c r="H56">
        <v>8.52777937072852E-3</v>
      </c>
      <c r="I56">
        <v>0.16760402816177</v>
      </c>
      <c r="J56" t="s">
        <v>44</v>
      </c>
      <c r="K56" s="9" t="s">
        <v>48</v>
      </c>
    </row>
    <row r="57" spans="1:11" hidden="1" x14ac:dyDescent="0.2">
      <c r="A57" s="83" t="s">
        <v>248</v>
      </c>
      <c r="B57" s="56" t="s">
        <v>20</v>
      </c>
      <c r="C57" t="s">
        <v>249</v>
      </c>
      <c r="D57">
        <v>-0.52483918469636703</v>
      </c>
      <c r="E57">
        <v>0.19940917470601799</v>
      </c>
      <c r="F57">
        <v>-2.6319710989733398</v>
      </c>
      <c r="G57">
        <v>9.7684483740814801E-3</v>
      </c>
      <c r="H57">
        <v>-0.91568116712016301</v>
      </c>
      <c r="I57">
        <v>-0.133997202272571</v>
      </c>
    </row>
    <row r="58" spans="1:11" hidden="1" x14ac:dyDescent="0.2">
      <c r="A58" s="83" t="s">
        <v>248</v>
      </c>
      <c r="B58" s="12" t="s">
        <v>25</v>
      </c>
      <c r="C58" t="s">
        <v>249</v>
      </c>
      <c r="D58">
        <v>-0.46159325320650002</v>
      </c>
      <c r="E58">
        <v>0.200723453359611</v>
      </c>
      <c r="F58">
        <v>-2.2996478263031901</v>
      </c>
      <c r="G58">
        <v>2.34466871743652E-2</v>
      </c>
      <c r="H58">
        <v>-0.85501122179133704</v>
      </c>
      <c r="I58">
        <v>-6.8175284621662405E-2</v>
      </c>
      <c r="J58" t="s">
        <v>44</v>
      </c>
      <c r="K58" s="9" t="s">
        <v>48</v>
      </c>
    </row>
    <row r="59" spans="1:11" hidden="1" x14ac:dyDescent="0.2">
      <c r="A59" s="83" t="s">
        <v>248</v>
      </c>
      <c r="B59" s="14" t="s">
        <v>13</v>
      </c>
      <c r="C59" t="s">
        <v>249</v>
      </c>
      <c r="D59">
        <v>-0.42342406876939298</v>
      </c>
      <c r="E59">
        <v>0.19435350979545199</v>
      </c>
      <c r="F59">
        <v>-2.1786283623847398</v>
      </c>
      <c r="G59">
        <v>3.15957425321087E-2</v>
      </c>
      <c r="H59">
        <v>-0.80435694796847801</v>
      </c>
      <c r="I59">
        <v>-4.2491189570307002E-2</v>
      </c>
      <c r="J59" t="s">
        <v>45</v>
      </c>
      <c r="K59" s="9" t="s">
        <v>48</v>
      </c>
    </row>
    <row r="60" spans="1:11" hidden="1" x14ac:dyDescent="0.2">
      <c r="A60" s="83" t="s">
        <v>248</v>
      </c>
      <c r="B60" s="15" t="s">
        <v>18</v>
      </c>
      <c r="C60" t="s">
        <v>249</v>
      </c>
      <c r="D60">
        <v>-0.41051195673585</v>
      </c>
      <c r="E60">
        <v>0.192687762630849</v>
      </c>
      <c r="F60">
        <v>-2.13045162355384</v>
      </c>
      <c r="G60">
        <v>3.5469514838424303E-2</v>
      </c>
      <c r="H60">
        <v>-0.788179971492314</v>
      </c>
      <c r="I60">
        <v>-3.2843941979385297E-2</v>
      </c>
      <c r="J60" s="52" t="s">
        <v>46</v>
      </c>
      <c r="K60" s="57" t="s">
        <v>199</v>
      </c>
    </row>
    <row r="61" spans="1:11" hidden="1" x14ac:dyDescent="0.2">
      <c r="A61" s="83" t="s">
        <v>248</v>
      </c>
      <c r="B61" s="36" t="s">
        <v>29</v>
      </c>
      <c r="C61" t="s">
        <v>249</v>
      </c>
      <c r="D61">
        <v>-0.440820032954927</v>
      </c>
      <c r="E61">
        <v>0.20994348848276401</v>
      </c>
      <c r="F61">
        <v>-2.0997080506791601</v>
      </c>
      <c r="G61">
        <v>3.8150901202082303E-2</v>
      </c>
      <c r="H61">
        <v>-0.85230927038114501</v>
      </c>
      <c r="I61">
        <v>-2.9330795528709399E-2</v>
      </c>
    </row>
    <row r="62" spans="1:11" hidden="1" x14ac:dyDescent="0.2">
      <c r="A62" s="3" t="s">
        <v>15</v>
      </c>
      <c r="B62" s="11" t="s">
        <v>7</v>
      </c>
      <c r="C62" t="s">
        <v>16</v>
      </c>
      <c r="D62" s="52" t="s">
        <v>138</v>
      </c>
      <c r="E62" s="52" t="s">
        <v>139</v>
      </c>
      <c r="F62" s="52" t="s">
        <v>140</v>
      </c>
      <c r="G62" s="52" t="s">
        <v>141</v>
      </c>
      <c r="H62">
        <v>0.113061709175639</v>
      </c>
      <c r="I62">
        <v>1.2722559911789999</v>
      </c>
      <c r="J62" t="s">
        <v>44</v>
      </c>
      <c r="K62" s="9" t="s">
        <v>48</v>
      </c>
    </row>
    <row r="63" spans="1:11" hidden="1" x14ac:dyDescent="0.2">
      <c r="A63" s="3" t="s">
        <v>15</v>
      </c>
      <c r="B63" s="34" t="s">
        <v>14</v>
      </c>
      <c r="C63" t="s">
        <v>16</v>
      </c>
      <c r="D63">
        <v>0.74002716763402099</v>
      </c>
      <c r="E63" s="52" t="s">
        <v>147</v>
      </c>
      <c r="F63" s="52" t="s">
        <v>148</v>
      </c>
      <c r="G63" s="52" t="s">
        <v>149</v>
      </c>
      <c r="H63">
        <v>9.7003948880669502E-2</v>
      </c>
      <c r="I63">
        <v>1.38305038638737</v>
      </c>
      <c r="J63" t="s">
        <v>44</v>
      </c>
      <c r="K63" s="9" t="s">
        <v>48</v>
      </c>
    </row>
    <row r="64" spans="1:11" hidden="1" x14ac:dyDescent="0.2">
      <c r="A64" s="3" t="s">
        <v>15</v>
      </c>
      <c r="B64" s="10" t="s">
        <v>9</v>
      </c>
      <c r="C64" t="s">
        <v>16</v>
      </c>
      <c r="D64" s="52" t="s">
        <v>164</v>
      </c>
      <c r="E64" s="52" t="s">
        <v>165</v>
      </c>
      <c r="F64" s="52" t="s">
        <v>166</v>
      </c>
      <c r="G64" s="52" t="s">
        <v>167</v>
      </c>
      <c r="H64">
        <v>5.4430046236016702E-2</v>
      </c>
      <c r="I64">
        <v>1.19354270189801</v>
      </c>
      <c r="J64" t="s">
        <v>44</v>
      </c>
      <c r="K64" s="9" t="s">
        <v>48</v>
      </c>
    </row>
    <row r="65" spans="1:11" hidden="1" x14ac:dyDescent="0.2">
      <c r="A65" s="3" t="s">
        <v>15</v>
      </c>
      <c r="B65" s="15" t="s">
        <v>18</v>
      </c>
      <c r="C65" t="s">
        <v>16</v>
      </c>
      <c r="D65" s="52" t="s">
        <v>194</v>
      </c>
      <c r="E65" s="52" t="s">
        <v>195</v>
      </c>
      <c r="F65" s="52" t="s">
        <v>196</v>
      </c>
      <c r="G65">
        <v>4.8756209344601897E-2</v>
      </c>
      <c r="H65">
        <v>1.12481337264524E-2</v>
      </c>
      <c r="I65">
        <v>1.3120420681663301</v>
      </c>
      <c r="J65" s="52" t="s">
        <v>46</v>
      </c>
      <c r="K65" s="57" t="s">
        <v>199</v>
      </c>
    </row>
    <row r="66" spans="1:11" hidden="1" x14ac:dyDescent="0.2">
      <c r="A66" s="5" t="s">
        <v>75</v>
      </c>
      <c r="B66" s="11" t="s">
        <v>7</v>
      </c>
      <c r="C66" t="s">
        <v>116</v>
      </c>
      <c r="D66">
        <v>-0.95348065009999905</v>
      </c>
      <c r="E66" s="52" t="s">
        <v>117</v>
      </c>
      <c r="F66">
        <v>-2.8305295171140998</v>
      </c>
      <c r="G66">
        <v>5.58846076613328E-3</v>
      </c>
      <c r="H66">
        <v>-1.6137182709750399</v>
      </c>
      <c r="I66">
        <v>-0.29324302922495599</v>
      </c>
      <c r="J66" t="s">
        <v>44</v>
      </c>
      <c r="K66" s="9" t="s">
        <v>48</v>
      </c>
    </row>
    <row r="67" spans="1:11" hidden="1" x14ac:dyDescent="0.2">
      <c r="A67" s="5" t="s">
        <v>75</v>
      </c>
      <c r="B67" s="13" t="s">
        <v>11</v>
      </c>
      <c r="C67" t="s">
        <v>116</v>
      </c>
      <c r="D67">
        <v>-1.01350369028181</v>
      </c>
      <c r="E67" s="52" t="s">
        <v>121</v>
      </c>
      <c r="F67">
        <v>-2.6238928508943502</v>
      </c>
      <c r="G67" s="52" t="s">
        <v>122</v>
      </c>
      <c r="H67">
        <v>-1.7705724220615</v>
      </c>
      <c r="I67">
        <v>-0.25643495850213299</v>
      </c>
      <c r="J67" t="s">
        <v>45</v>
      </c>
      <c r="K67" s="9" t="s">
        <v>48</v>
      </c>
    </row>
    <row r="68" spans="1:11" hidden="1" x14ac:dyDescent="0.2">
      <c r="A68" s="5" t="s">
        <v>75</v>
      </c>
      <c r="B68" s="13" t="s">
        <v>11</v>
      </c>
      <c r="C68" t="s">
        <v>123</v>
      </c>
      <c r="D68">
        <v>-0.71162226407370699</v>
      </c>
      <c r="E68" s="52" t="s">
        <v>124</v>
      </c>
      <c r="F68">
        <v>-2.6098775666143998</v>
      </c>
      <c r="G68">
        <v>1.0406627495908901E-2</v>
      </c>
      <c r="H68">
        <v>-1.2460456621006899</v>
      </c>
      <c r="I68">
        <v>-0.177198866046722</v>
      </c>
      <c r="J68" t="s">
        <v>45</v>
      </c>
      <c r="K68" s="9" t="s">
        <v>48</v>
      </c>
    </row>
    <row r="69" spans="1:11" hidden="1" x14ac:dyDescent="0.2">
      <c r="A69" s="5" t="s">
        <v>75</v>
      </c>
      <c r="B69" s="34" t="s">
        <v>14</v>
      </c>
      <c r="C69" t="s">
        <v>116</v>
      </c>
      <c r="D69">
        <v>-0.90031529909090802</v>
      </c>
      <c r="E69" s="52" t="s">
        <v>131</v>
      </c>
      <c r="F69">
        <v>-2.3814498825871802</v>
      </c>
      <c r="G69" s="52" t="s">
        <v>132</v>
      </c>
      <c r="H69">
        <v>-1.64130002403549</v>
      </c>
      <c r="I69">
        <v>-0.15933057414632401</v>
      </c>
      <c r="J69" t="s">
        <v>44</v>
      </c>
      <c r="K69" s="9" t="s">
        <v>48</v>
      </c>
    </row>
    <row r="70" spans="1:11" hidden="1" x14ac:dyDescent="0.2">
      <c r="A70" s="5" t="s">
        <v>75</v>
      </c>
      <c r="B70" s="15" t="s">
        <v>18</v>
      </c>
      <c r="C70" t="s">
        <v>116</v>
      </c>
      <c r="D70">
        <v>-0.84918926403636197</v>
      </c>
      <c r="E70" s="52" t="s">
        <v>150</v>
      </c>
      <c r="F70">
        <v>-2.24143018944461</v>
      </c>
      <c r="G70" s="52" t="s">
        <v>151</v>
      </c>
      <c r="H70">
        <v>-1.59175575812096</v>
      </c>
      <c r="I70">
        <v>-0.106622769951761</v>
      </c>
      <c r="J70" s="52" t="s">
        <v>46</v>
      </c>
      <c r="K70" s="57" t="s">
        <v>199</v>
      </c>
    </row>
    <row r="71" spans="1:11" hidden="1" x14ac:dyDescent="0.2">
      <c r="A71" s="5" t="s">
        <v>75</v>
      </c>
      <c r="B71" s="56" t="s">
        <v>20</v>
      </c>
      <c r="C71" t="s">
        <v>123</v>
      </c>
      <c r="D71">
        <v>-0.61375876378501104</v>
      </c>
      <c r="E71" s="52" t="s">
        <v>161</v>
      </c>
      <c r="F71">
        <v>-2.2075666108408201</v>
      </c>
      <c r="G71">
        <v>2.9492986200223E-2</v>
      </c>
      <c r="H71">
        <v>-1.1586878142205199</v>
      </c>
      <c r="I71">
        <v>-6.8829713349504301E-2</v>
      </c>
      <c r="J71" t="s">
        <v>44</v>
      </c>
      <c r="K71" s="9" t="s">
        <v>48</v>
      </c>
    </row>
    <row r="72" spans="1:11" hidden="1" x14ac:dyDescent="0.2">
      <c r="A72" s="5" t="s">
        <v>75</v>
      </c>
      <c r="B72" s="10" t="s">
        <v>9</v>
      </c>
      <c r="C72" t="s">
        <v>116</v>
      </c>
      <c r="D72">
        <v>-0.70161508159090802</v>
      </c>
      <c r="E72">
        <v>0.33630583235779099</v>
      </c>
      <c r="F72">
        <v>-2.0862411950217599</v>
      </c>
      <c r="G72">
        <v>3.9426789139326603E-2</v>
      </c>
      <c r="H72">
        <v>-1.36077451301218</v>
      </c>
      <c r="I72">
        <v>-4.2455650169637697E-2</v>
      </c>
      <c r="J72" t="s">
        <v>44</v>
      </c>
      <c r="K72" s="9" t="s">
        <v>48</v>
      </c>
    </row>
    <row r="73" spans="1:11" hidden="1" x14ac:dyDescent="0.2">
      <c r="A73" s="5" t="s">
        <v>75</v>
      </c>
      <c r="B73" s="12" t="s">
        <v>25</v>
      </c>
      <c r="C73" t="s">
        <v>116</v>
      </c>
      <c r="D73">
        <v>-0.79206537405454402</v>
      </c>
      <c r="E73" s="52" t="s">
        <v>197</v>
      </c>
      <c r="F73">
        <v>-1.98648636380818</v>
      </c>
      <c r="G73" s="52" t="s">
        <v>198</v>
      </c>
      <c r="H73">
        <v>-1.57356992471796</v>
      </c>
      <c r="I73">
        <v>-1.0560823391132601E-2</v>
      </c>
      <c r="J73" t="s">
        <v>44</v>
      </c>
      <c r="K73" s="9" t="s">
        <v>48</v>
      </c>
    </row>
    <row r="74" spans="1:11" hidden="1" x14ac:dyDescent="0.2">
      <c r="A74" s="38" t="s">
        <v>68</v>
      </c>
      <c r="B74" s="11" t="s">
        <v>7</v>
      </c>
      <c r="C74" t="s">
        <v>111</v>
      </c>
      <c r="D74">
        <v>-0.68993236821612702</v>
      </c>
      <c r="E74" s="52" t="s">
        <v>112</v>
      </c>
      <c r="F74">
        <v>-2.9928384749202301</v>
      </c>
      <c r="G74">
        <v>3.4599340546393599E-3</v>
      </c>
      <c r="H74">
        <v>-1.1417667899650801</v>
      </c>
      <c r="I74">
        <v>-0.238097946467172</v>
      </c>
      <c r="J74" t="s">
        <v>44</v>
      </c>
      <c r="K74" s="59" t="s">
        <v>48</v>
      </c>
    </row>
    <row r="75" spans="1:11" hidden="1" x14ac:dyDescent="0.2">
      <c r="A75" s="38" t="s">
        <v>68</v>
      </c>
      <c r="B75" s="13" t="s">
        <v>11</v>
      </c>
      <c r="C75" t="s">
        <v>111</v>
      </c>
      <c r="D75">
        <v>-0.72637997620529804</v>
      </c>
      <c r="E75" s="52" t="s">
        <v>118</v>
      </c>
      <c r="F75">
        <v>-2.74792945540913</v>
      </c>
      <c r="G75">
        <v>7.0819366894713104E-3</v>
      </c>
      <c r="H75">
        <v>-1.2444808868963999</v>
      </c>
      <c r="I75">
        <v>-0.20827906551419301</v>
      </c>
      <c r="J75" t="s">
        <v>45</v>
      </c>
      <c r="K75" s="9" t="s">
        <v>48</v>
      </c>
    </row>
    <row r="76" spans="1:11" hidden="1" x14ac:dyDescent="0.2">
      <c r="A76" s="38" t="s">
        <v>68</v>
      </c>
      <c r="B76" s="15" t="s">
        <v>18</v>
      </c>
      <c r="C76" t="s">
        <v>111</v>
      </c>
      <c r="D76">
        <v>-0.64578302740651605</v>
      </c>
      <c r="E76" s="52" t="s">
        <v>125</v>
      </c>
      <c r="F76">
        <v>-2.49073946785045</v>
      </c>
      <c r="G76" s="52" t="s">
        <v>126</v>
      </c>
      <c r="H76">
        <v>-1.1539593140291899</v>
      </c>
      <c r="I76">
        <v>-0.13760674078384599</v>
      </c>
      <c r="J76" s="52" t="s">
        <v>46</v>
      </c>
      <c r="K76" s="57" t="s">
        <v>199</v>
      </c>
    </row>
    <row r="77" spans="1:11" hidden="1" x14ac:dyDescent="0.2">
      <c r="A77" s="38" t="s">
        <v>68</v>
      </c>
      <c r="B77" s="34" t="s">
        <v>14</v>
      </c>
      <c r="C77" t="s">
        <v>111</v>
      </c>
      <c r="D77">
        <v>-0.64090913582026399</v>
      </c>
      <c r="E77" s="52" t="s">
        <v>127</v>
      </c>
      <c r="F77">
        <v>-2.4772180290464698</v>
      </c>
      <c r="G77">
        <v>1.4868112728954601E-2</v>
      </c>
      <c r="H77">
        <v>-1.1480029368012199</v>
      </c>
      <c r="I77">
        <v>-0.13381533483931199</v>
      </c>
      <c r="J77" t="s">
        <v>44</v>
      </c>
      <c r="K77" s="9" t="s">
        <v>48</v>
      </c>
    </row>
    <row r="78" spans="1:11" hidden="1" x14ac:dyDescent="0.2">
      <c r="A78" s="38" t="s">
        <v>68</v>
      </c>
      <c r="B78" s="12" t="s">
        <v>25</v>
      </c>
      <c r="C78" t="s">
        <v>111</v>
      </c>
      <c r="D78">
        <v>-0.60339640373762005</v>
      </c>
      <c r="E78" s="52" t="s">
        <v>159</v>
      </c>
      <c r="F78">
        <v>-2.2113028789797702</v>
      </c>
      <c r="G78" s="52" t="s">
        <v>160</v>
      </c>
      <c r="H78">
        <v>-1.1382199969088</v>
      </c>
      <c r="I78">
        <v>-6.8572810566441794E-2</v>
      </c>
      <c r="J78" t="s">
        <v>44</v>
      </c>
      <c r="K78" s="9" t="s">
        <v>48</v>
      </c>
    </row>
    <row r="79" spans="1:11" hidden="1" x14ac:dyDescent="0.2">
      <c r="A79" s="38" t="s">
        <v>68</v>
      </c>
      <c r="B79" s="16" t="s">
        <v>30</v>
      </c>
      <c r="C79" t="s">
        <v>96</v>
      </c>
      <c r="D79" s="52" t="s">
        <v>168</v>
      </c>
      <c r="E79" s="52" t="s">
        <v>169</v>
      </c>
      <c r="F79" s="52" t="s">
        <v>170</v>
      </c>
      <c r="G79">
        <v>3.4372904004251199E-2</v>
      </c>
      <c r="H79">
        <v>3.3616509370039502E-2</v>
      </c>
      <c r="I79">
        <v>0.74918494921713696</v>
      </c>
    </row>
    <row r="80" spans="1:11" hidden="1" x14ac:dyDescent="0.2">
      <c r="A80" s="38" t="s">
        <v>68</v>
      </c>
      <c r="B80" s="10" t="s">
        <v>9</v>
      </c>
      <c r="C80" t="s">
        <v>111</v>
      </c>
      <c r="D80">
        <v>-0.48829947767244197</v>
      </c>
      <c r="E80" s="52" t="s">
        <v>179</v>
      </c>
      <c r="F80">
        <v>-2.1216454700907499</v>
      </c>
      <c r="G80">
        <v>3.6266398092855298E-2</v>
      </c>
      <c r="H80">
        <v>-0.93939603915264303</v>
      </c>
      <c r="I80">
        <v>-3.7202916192240601E-2</v>
      </c>
      <c r="J80" t="s">
        <v>44</v>
      </c>
      <c r="K80" s="9" t="s">
        <v>48</v>
      </c>
    </row>
    <row r="81" spans="1:11" hidden="1" x14ac:dyDescent="0.2">
      <c r="A81" s="38" t="s">
        <v>68</v>
      </c>
      <c r="B81" s="53" t="s">
        <v>26</v>
      </c>
      <c r="C81" t="s">
        <v>96</v>
      </c>
      <c r="D81" s="52" t="s">
        <v>190</v>
      </c>
      <c r="E81" s="52" t="s">
        <v>191</v>
      </c>
      <c r="F81" s="52" t="s">
        <v>192</v>
      </c>
      <c r="G81">
        <v>4.7254386187363197E-2</v>
      </c>
      <c r="H81">
        <v>9.9716049606193794E-3</v>
      </c>
      <c r="I81">
        <v>0.82319901145709296</v>
      </c>
      <c r="J81" t="s">
        <v>44</v>
      </c>
      <c r="K81" s="58" t="s">
        <v>49</v>
      </c>
    </row>
    <row r="82" spans="1:11" hidden="1" x14ac:dyDescent="0.2">
      <c r="A82" s="113" t="s">
        <v>263</v>
      </c>
      <c r="B82" s="56" t="s">
        <v>20</v>
      </c>
      <c r="C82" t="s">
        <v>274</v>
      </c>
      <c r="D82">
        <v>-0.52483918469636703</v>
      </c>
      <c r="E82">
        <v>0.19940917470601799</v>
      </c>
      <c r="F82">
        <v>-2.6319710989733398</v>
      </c>
      <c r="G82">
        <v>9.7684483740814801E-3</v>
      </c>
      <c r="H82">
        <v>-0.91568116712016301</v>
      </c>
      <c r="I82">
        <v>-0.133997202272571</v>
      </c>
      <c r="J82" t="s">
        <v>44</v>
      </c>
      <c r="K82" s="9" t="s">
        <v>48</v>
      </c>
    </row>
    <row r="83" spans="1:11" hidden="1" x14ac:dyDescent="0.2">
      <c r="A83" s="113" t="s">
        <v>263</v>
      </c>
      <c r="B83" s="12" t="s">
        <v>25</v>
      </c>
      <c r="C83" t="s">
        <v>274</v>
      </c>
      <c r="D83">
        <v>-0.46159325320650002</v>
      </c>
      <c r="E83">
        <v>0.200723453359611</v>
      </c>
      <c r="F83">
        <v>-2.2996478263031901</v>
      </c>
      <c r="G83">
        <v>2.34466871743652E-2</v>
      </c>
      <c r="H83">
        <v>-0.85501122179133704</v>
      </c>
      <c r="I83">
        <v>-6.8175284621662405E-2</v>
      </c>
      <c r="J83" t="s">
        <v>44</v>
      </c>
      <c r="K83" s="9" t="s">
        <v>48</v>
      </c>
    </row>
    <row r="84" spans="1:11" hidden="1" x14ac:dyDescent="0.2">
      <c r="A84" s="113" t="s">
        <v>263</v>
      </c>
      <c r="B84" s="14" t="s">
        <v>13</v>
      </c>
      <c r="C84" t="s">
        <v>274</v>
      </c>
      <c r="D84">
        <v>-0.42342406876939298</v>
      </c>
      <c r="E84">
        <v>0.19435350979545199</v>
      </c>
      <c r="F84">
        <v>-2.1786283623847398</v>
      </c>
      <c r="G84">
        <v>3.15957425321087E-2</v>
      </c>
      <c r="H84">
        <v>-0.80435694796847801</v>
      </c>
      <c r="I84">
        <v>-4.2491189570307002E-2</v>
      </c>
      <c r="J84" t="s">
        <v>45</v>
      </c>
      <c r="K84" s="9" t="s">
        <v>48</v>
      </c>
    </row>
    <row r="85" spans="1:11" hidden="1" x14ac:dyDescent="0.2">
      <c r="A85" s="113" t="s">
        <v>263</v>
      </c>
      <c r="B85" s="15" t="s">
        <v>18</v>
      </c>
      <c r="C85" t="s">
        <v>274</v>
      </c>
      <c r="D85">
        <v>-0.41051195673585</v>
      </c>
      <c r="E85">
        <v>0.192687762630849</v>
      </c>
      <c r="F85">
        <v>-2.13045162355384</v>
      </c>
      <c r="G85">
        <v>3.5469514838424303E-2</v>
      </c>
      <c r="H85">
        <v>-0.788179971492314</v>
      </c>
      <c r="I85">
        <v>-3.2843941979385297E-2</v>
      </c>
      <c r="J85" s="52" t="s">
        <v>46</v>
      </c>
      <c r="K85" s="57" t="s">
        <v>199</v>
      </c>
    </row>
    <row r="86" spans="1:11" hidden="1" x14ac:dyDescent="0.2">
      <c r="A86" s="113" t="s">
        <v>263</v>
      </c>
      <c r="B86" s="36" t="s">
        <v>29</v>
      </c>
      <c r="C86" t="s">
        <v>274</v>
      </c>
      <c r="D86">
        <v>-0.440820032954927</v>
      </c>
      <c r="E86">
        <v>0.20994348848276401</v>
      </c>
      <c r="F86">
        <v>-2.0997080506791601</v>
      </c>
      <c r="G86">
        <v>3.8150901202082303E-2</v>
      </c>
      <c r="H86">
        <v>-0.85230927038114501</v>
      </c>
      <c r="I86">
        <v>-2.9330795528709399E-2</v>
      </c>
    </row>
    <row r="87" spans="1:11" hidden="1" x14ac:dyDescent="0.2">
      <c r="A87" s="80" t="s">
        <v>260</v>
      </c>
      <c r="B87" s="11" t="s">
        <v>7</v>
      </c>
      <c r="C87" t="s">
        <v>260</v>
      </c>
      <c r="D87">
        <v>0.150516814219816</v>
      </c>
      <c r="E87">
        <v>5.3005851403429997E-2</v>
      </c>
      <c r="F87">
        <v>2.83962638528764</v>
      </c>
      <c r="G87">
        <v>5.42454064634119E-3</v>
      </c>
      <c r="H87">
        <v>4.6625345469092902E-2</v>
      </c>
      <c r="I87">
        <v>0.25440828297053802</v>
      </c>
      <c r="J87" t="s">
        <v>44</v>
      </c>
      <c r="K87" s="59" t="s">
        <v>48</v>
      </c>
    </row>
    <row r="88" spans="1:11" hidden="1" x14ac:dyDescent="0.2">
      <c r="A88" s="80" t="s">
        <v>260</v>
      </c>
      <c r="B88" s="13" t="s">
        <v>11</v>
      </c>
      <c r="C88" t="s">
        <v>260</v>
      </c>
      <c r="D88">
        <v>0.168369433673277</v>
      </c>
      <c r="E88">
        <v>6.0960779253745899E-2</v>
      </c>
      <c r="F88">
        <v>2.7619304696294602</v>
      </c>
      <c r="G88">
        <v>6.7846443596885301E-3</v>
      </c>
      <c r="H88">
        <v>4.8886306335934597E-2</v>
      </c>
      <c r="I88">
        <v>0.28785256101061901</v>
      </c>
      <c r="J88" t="s">
        <v>45</v>
      </c>
      <c r="K88" s="9" t="s">
        <v>48</v>
      </c>
    </row>
    <row r="89" spans="1:11" hidden="1" x14ac:dyDescent="0.2">
      <c r="A89" s="80" t="s">
        <v>260</v>
      </c>
      <c r="B89" s="15" t="s">
        <v>18</v>
      </c>
      <c r="C89" t="s">
        <v>260</v>
      </c>
      <c r="D89">
        <v>0.13906188174710199</v>
      </c>
      <c r="E89">
        <v>5.9777758900232E-2</v>
      </c>
      <c r="F89">
        <v>2.32631474156122</v>
      </c>
      <c r="G89">
        <v>2.1922442557453601E-2</v>
      </c>
      <c r="H89">
        <v>2.18974743026473E-2</v>
      </c>
      <c r="I89">
        <v>0.25622628919155699</v>
      </c>
      <c r="J89" s="52" t="s">
        <v>46</v>
      </c>
      <c r="K89" s="57" t="s">
        <v>199</v>
      </c>
    </row>
    <row r="90" spans="1:11" hidden="1" x14ac:dyDescent="0.2">
      <c r="A90" s="80" t="s">
        <v>260</v>
      </c>
      <c r="B90" s="10" t="s">
        <v>9</v>
      </c>
      <c r="C90" t="s">
        <v>260</v>
      </c>
      <c r="D90">
        <v>0.121497651324114</v>
      </c>
      <c r="E90">
        <v>5.2514101673780698E-2</v>
      </c>
      <c r="F90">
        <v>2.31361953173761</v>
      </c>
      <c r="G90">
        <v>2.2636826028643E-2</v>
      </c>
      <c r="H90">
        <v>1.85700120435036E-2</v>
      </c>
      <c r="I90">
        <v>0.22442529060472399</v>
      </c>
      <c r="J90" t="s">
        <v>44</v>
      </c>
      <c r="K90" s="9" t="s">
        <v>48</v>
      </c>
    </row>
    <row r="91" spans="1:11" hidden="1" x14ac:dyDescent="0.2">
      <c r="A91" s="80" t="s">
        <v>260</v>
      </c>
      <c r="B91" s="12" t="s">
        <v>25</v>
      </c>
      <c r="C91" t="s">
        <v>260</v>
      </c>
      <c r="D91">
        <v>0.13222979585577299</v>
      </c>
      <c r="E91">
        <v>6.2760442330165395E-2</v>
      </c>
      <c r="F91">
        <v>2.1068971305228898</v>
      </c>
      <c r="G91">
        <v>3.7508697155463101E-2</v>
      </c>
      <c r="H91">
        <v>9.2193288886484297E-3</v>
      </c>
      <c r="I91">
        <v>0.25524026282289702</v>
      </c>
      <c r="J91" t="s">
        <v>44</v>
      </c>
      <c r="K91" s="9" t="s">
        <v>48</v>
      </c>
    </row>
    <row r="92" spans="1:11" hidden="1" x14ac:dyDescent="0.2">
      <c r="A92" s="83" t="s">
        <v>262</v>
      </c>
      <c r="B92" s="13" t="s">
        <v>11</v>
      </c>
      <c r="C92" t="s">
        <v>262</v>
      </c>
      <c r="D92">
        <v>0.15136128795015499</v>
      </c>
      <c r="E92">
        <v>4.6349840667132998E-2</v>
      </c>
      <c r="F92">
        <v>3.26562693143164</v>
      </c>
      <c r="G92">
        <v>1.4754832656443399E-3</v>
      </c>
      <c r="H92">
        <v>6.0515600242574401E-2</v>
      </c>
      <c r="I92">
        <v>0.242206975657736</v>
      </c>
      <c r="J92" t="s">
        <v>45</v>
      </c>
      <c r="K92" s="9" t="s">
        <v>48</v>
      </c>
    </row>
    <row r="93" spans="1:11" hidden="1" x14ac:dyDescent="0.2">
      <c r="A93" s="83" t="s">
        <v>262</v>
      </c>
      <c r="B93" s="11" t="s">
        <v>7</v>
      </c>
      <c r="C93" t="s">
        <v>262</v>
      </c>
      <c r="D93">
        <v>0.12334069233690199</v>
      </c>
      <c r="E93">
        <v>4.0635025721160602E-2</v>
      </c>
      <c r="F93">
        <v>3.0353295007925301</v>
      </c>
      <c r="G93">
        <v>3.0296090279921801E-3</v>
      </c>
      <c r="H93">
        <v>4.3696041923426999E-2</v>
      </c>
      <c r="I93">
        <v>0.202985342750377</v>
      </c>
      <c r="J93" t="s">
        <v>44</v>
      </c>
      <c r="K93" s="59" t="s">
        <v>48</v>
      </c>
    </row>
    <row r="94" spans="1:11" hidden="1" x14ac:dyDescent="0.2">
      <c r="A94" s="83" t="s">
        <v>262</v>
      </c>
      <c r="B94" s="15" t="s">
        <v>18</v>
      </c>
      <c r="C94" t="s">
        <v>262</v>
      </c>
      <c r="D94">
        <v>0.114233113253391</v>
      </c>
      <c r="E94">
        <v>4.5896418062569798E-2</v>
      </c>
      <c r="F94">
        <v>2.48893308182915</v>
      </c>
      <c r="G94">
        <v>1.438332398049E-2</v>
      </c>
      <c r="H94">
        <v>2.42761338507539E-2</v>
      </c>
      <c r="I94">
        <v>0.204190092656028</v>
      </c>
      <c r="J94" s="52" t="s">
        <v>46</v>
      </c>
      <c r="K94" s="57" t="s">
        <v>199</v>
      </c>
    </row>
    <row r="95" spans="1:11" hidden="1" x14ac:dyDescent="0.2">
      <c r="A95" s="83" t="s">
        <v>262</v>
      </c>
      <c r="B95" s="14" t="s">
        <v>13</v>
      </c>
      <c r="C95" t="s">
        <v>262</v>
      </c>
      <c r="D95">
        <v>0.11272626575321</v>
      </c>
      <c r="E95">
        <v>4.63980069700239E-2</v>
      </c>
      <c r="F95">
        <v>2.42954973962649</v>
      </c>
      <c r="G95">
        <v>1.6814737403730899E-2</v>
      </c>
      <c r="H95">
        <v>2.1786172091962801E-2</v>
      </c>
      <c r="I95">
        <v>0.20366635941445699</v>
      </c>
      <c r="J95" t="s">
        <v>45</v>
      </c>
      <c r="K95" s="9" t="s">
        <v>48</v>
      </c>
    </row>
    <row r="96" spans="1:11" hidden="1" x14ac:dyDescent="0.2">
      <c r="A96" s="83" t="s">
        <v>262</v>
      </c>
      <c r="B96" s="12" t="s">
        <v>25</v>
      </c>
      <c r="C96" t="s">
        <v>262</v>
      </c>
      <c r="D96">
        <v>0.114356196838753</v>
      </c>
      <c r="E96">
        <v>4.8090714088036501E-2</v>
      </c>
      <c r="F96">
        <v>2.3779267787417102</v>
      </c>
      <c r="G96">
        <v>1.9218921846554601E-2</v>
      </c>
      <c r="H96">
        <v>2.0098397226201499E-2</v>
      </c>
      <c r="I96">
        <v>0.20861399645130499</v>
      </c>
      <c r="J96" t="s">
        <v>44</v>
      </c>
      <c r="K96" s="9" t="s">
        <v>48</v>
      </c>
    </row>
    <row r="97" spans="1:11" hidden="1" x14ac:dyDescent="0.2">
      <c r="A97" s="83" t="s">
        <v>262</v>
      </c>
      <c r="B97" s="56" t="s">
        <v>20</v>
      </c>
      <c r="C97" t="s">
        <v>262</v>
      </c>
      <c r="D97">
        <v>0.105390161634644</v>
      </c>
      <c r="E97">
        <v>4.8326118735995301E-2</v>
      </c>
      <c r="F97">
        <v>2.1808116271531799</v>
      </c>
      <c r="G97">
        <v>3.1429263994410803E-2</v>
      </c>
      <c r="H97">
        <v>1.06709689120931E-2</v>
      </c>
      <c r="I97">
        <v>0.20010935435719501</v>
      </c>
      <c r="J97" t="s">
        <v>44</v>
      </c>
      <c r="K97" s="9" t="s">
        <v>48</v>
      </c>
    </row>
    <row r="98" spans="1:11" hidden="1" x14ac:dyDescent="0.2">
      <c r="A98" s="83" t="s">
        <v>262</v>
      </c>
      <c r="B98" s="10" t="s">
        <v>9</v>
      </c>
      <c r="C98" t="s">
        <v>262</v>
      </c>
      <c r="D98">
        <v>8.8065903766249495E-2</v>
      </c>
      <c r="E98">
        <v>4.0580675712000497E-2</v>
      </c>
      <c r="F98">
        <v>2.1701438485462798</v>
      </c>
      <c r="G98">
        <v>3.2250008520392101E-2</v>
      </c>
      <c r="H98">
        <v>8.52777937072852E-3</v>
      </c>
      <c r="I98">
        <v>0.16760402816177</v>
      </c>
      <c r="J98" t="s">
        <v>44</v>
      </c>
      <c r="K98" s="9" t="s">
        <v>48</v>
      </c>
    </row>
    <row r="99" spans="1:11" x14ac:dyDescent="0.2">
      <c r="A99" s="67" t="s">
        <v>225</v>
      </c>
      <c r="B99" s="56" t="s">
        <v>20</v>
      </c>
      <c r="C99" t="s">
        <v>232</v>
      </c>
      <c r="D99">
        <v>0.57695059833546103</v>
      </c>
      <c r="E99">
        <v>0.199620899358076</v>
      </c>
      <c r="F99">
        <v>2.8902314346382099</v>
      </c>
      <c r="G99">
        <v>4.6781282252548496E-3</v>
      </c>
      <c r="H99">
        <v>0.185693635593632</v>
      </c>
      <c r="I99">
        <v>0.96820756107729</v>
      </c>
      <c r="J99" t="s">
        <v>44</v>
      </c>
      <c r="K99" s="9" t="s">
        <v>48</v>
      </c>
    </row>
    <row r="100" spans="1:11" x14ac:dyDescent="0.2">
      <c r="A100" s="67" t="s">
        <v>225</v>
      </c>
      <c r="B100" s="11" t="s">
        <v>7</v>
      </c>
      <c r="C100" t="s">
        <v>232</v>
      </c>
      <c r="D100">
        <v>0.41484907044964497</v>
      </c>
      <c r="E100">
        <v>0.173238659205766</v>
      </c>
      <c r="F100">
        <v>2.3946679820287899</v>
      </c>
      <c r="G100">
        <v>1.8407801961030999E-2</v>
      </c>
      <c r="H100">
        <v>7.5301298406344294E-2</v>
      </c>
      <c r="I100">
        <v>0.75439684249294603</v>
      </c>
      <c r="J100" t="s">
        <v>44</v>
      </c>
      <c r="K100" s="59" t="s">
        <v>48</v>
      </c>
    </row>
    <row r="101" spans="1:11" x14ac:dyDescent="0.2">
      <c r="A101" s="67" t="s">
        <v>225</v>
      </c>
      <c r="B101" s="15" t="s">
        <v>18</v>
      </c>
      <c r="C101" t="s">
        <v>232</v>
      </c>
      <c r="D101">
        <v>0.46018198919680797</v>
      </c>
      <c r="E101">
        <v>0.19311544789514801</v>
      </c>
      <c r="F101">
        <v>2.3829372233683901</v>
      </c>
      <c r="G101">
        <v>1.8972902701248899E-2</v>
      </c>
      <c r="H101">
        <v>8.1675711322317199E-2</v>
      </c>
      <c r="I101">
        <v>0.83868826707129895</v>
      </c>
      <c r="J101" s="52" t="s">
        <v>46</v>
      </c>
      <c r="K101" s="57" t="s">
        <v>199</v>
      </c>
    </row>
    <row r="102" spans="1:11" x14ac:dyDescent="0.2">
      <c r="A102" s="67" t="s">
        <v>225</v>
      </c>
      <c r="B102" s="13" t="s">
        <v>11</v>
      </c>
      <c r="C102" t="s">
        <v>232</v>
      </c>
      <c r="D102">
        <v>0.45686558140780098</v>
      </c>
      <c r="E102">
        <v>0.19928514703200101</v>
      </c>
      <c r="F102">
        <v>2.2925219877748302</v>
      </c>
      <c r="G102">
        <v>2.3869471609342899E-2</v>
      </c>
      <c r="H102">
        <v>6.6266693225079595E-2</v>
      </c>
      <c r="I102">
        <v>0.84746446959052302</v>
      </c>
      <c r="J102" t="s">
        <v>45</v>
      </c>
      <c r="K102" s="9" t="s">
        <v>48</v>
      </c>
    </row>
    <row r="103" spans="1:11" x14ac:dyDescent="0.2">
      <c r="A103" s="67" t="s">
        <v>225</v>
      </c>
      <c r="B103" s="12" t="s">
        <v>25</v>
      </c>
      <c r="C103" t="s">
        <v>232</v>
      </c>
      <c r="D103">
        <v>0.43961414637021301</v>
      </c>
      <c r="E103">
        <v>0.20275313728974301</v>
      </c>
      <c r="F103">
        <v>2.1682236450032599</v>
      </c>
      <c r="G103">
        <v>3.2399704763349198E-2</v>
      </c>
      <c r="H103">
        <v>4.2217997282316101E-2</v>
      </c>
      <c r="I103">
        <v>0.83701029545810901</v>
      </c>
      <c r="J103" t="s">
        <v>44</v>
      </c>
      <c r="K103" s="9" t="s">
        <v>48</v>
      </c>
    </row>
    <row r="104" spans="1:11" x14ac:dyDescent="0.2">
      <c r="A104" s="196" t="s">
        <v>280</v>
      </c>
      <c r="B104" s="13" t="s">
        <v>11</v>
      </c>
      <c r="C104" t="s">
        <v>286</v>
      </c>
      <c r="D104">
        <v>-0.75178985562266398</v>
      </c>
      <c r="E104">
        <v>0.211027815936084</v>
      </c>
      <c r="F104">
        <v>-3.56251545459943</v>
      </c>
      <c r="G104">
        <v>5.5391073951647498E-4</v>
      </c>
      <c r="H104">
        <v>-1.1654043748573899</v>
      </c>
      <c r="I104">
        <v>-0.33817533638793901</v>
      </c>
      <c r="J104" t="s">
        <v>45</v>
      </c>
      <c r="K104" s="9" t="s">
        <v>48</v>
      </c>
    </row>
    <row r="105" spans="1:11" x14ac:dyDescent="0.2">
      <c r="A105" s="196" t="s">
        <v>280</v>
      </c>
      <c r="B105" s="14" t="s">
        <v>13</v>
      </c>
      <c r="C105" t="s">
        <v>286</v>
      </c>
      <c r="D105">
        <v>-0.59012364409507601</v>
      </c>
      <c r="E105">
        <v>0.211290047558712</v>
      </c>
      <c r="F105">
        <v>-2.7929552334030099</v>
      </c>
      <c r="G105">
        <v>6.20802820640441E-3</v>
      </c>
      <c r="H105">
        <v>-1.0042521373101501</v>
      </c>
      <c r="I105">
        <v>-0.17599515088000001</v>
      </c>
      <c r="J105" t="s">
        <v>45</v>
      </c>
      <c r="K105" s="9" t="s">
        <v>48</v>
      </c>
    </row>
    <row r="106" spans="1:11" x14ac:dyDescent="0.2">
      <c r="A106" s="196" t="s">
        <v>280</v>
      </c>
      <c r="B106" s="10" t="s">
        <v>9</v>
      </c>
      <c r="C106" t="s">
        <v>286</v>
      </c>
      <c r="D106">
        <v>-0.41120753084719802</v>
      </c>
      <c r="E106">
        <v>0.18623252097476101</v>
      </c>
      <c r="F106">
        <v>-2.2080328864953001</v>
      </c>
      <c r="G106">
        <v>2.94168160333293E-2</v>
      </c>
      <c r="H106">
        <v>-0.776223271957729</v>
      </c>
      <c r="I106">
        <v>-4.6191789736666898E-2</v>
      </c>
      <c r="J106" t="s">
        <v>44</v>
      </c>
      <c r="K106" s="9" t="s">
        <v>48</v>
      </c>
    </row>
    <row r="107" spans="1:11" hidden="1" x14ac:dyDescent="0.2">
      <c r="A107" s="19" t="s">
        <v>277</v>
      </c>
      <c r="B107" s="13" t="s">
        <v>11</v>
      </c>
      <c r="C107" t="s">
        <v>279</v>
      </c>
      <c r="D107">
        <v>-0.49884578340277702</v>
      </c>
      <c r="E107">
        <v>0.228199204859346</v>
      </c>
      <c r="F107">
        <v>-2.1860101734808799</v>
      </c>
      <c r="G107">
        <v>3.1035933107317198E-2</v>
      </c>
      <c r="H107">
        <v>-0.94611622492709402</v>
      </c>
      <c r="I107">
        <v>-5.1575341878459503E-2</v>
      </c>
      <c r="J107" t="s">
        <v>45</v>
      </c>
      <c r="K107" s="9" t="s">
        <v>48</v>
      </c>
    </row>
    <row r="108" spans="1:11" x14ac:dyDescent="0.2">
      <c r="A108" s="196" t="s">
        <v>280</v>
      </c>
      <c r="B108" s="127" t="s">
        <v>17</v>
      </c>
      <c r="C108" t="s">
        <v>286</v>
      </c>
      <c r="D108">
        <v>-0.530296838780559</v>
      </c>
      <c r="E108">
        <v>0.243337602897153</v>
      </c>
      <c r="F108">
        <v>-2.1792638394843098</v>
      </c>
      <c r="G108">
        <v>3.15472070983467E-2</v>
      </c>
      <c r="H108">
        <v>-1.0072385404589801</v>
      </c>
      <c r="I108">
        <v>-5.3355137102138697E-2</v>
      </c>
      <c r="J108" t="s">
        <v>44</v>
      </c>
      <c r="K108" s="58" t="s">
        <v>49</v>
      </c>
    </row>
    <row r="109" spans="1:11" x14ac:dyDescent="0.2">
      <c r="A109" s="196" t="s">
        <v>280</v>
      </c>
      <c r="B109" s="12" t="s">
        <v>25</v>
      </c>
      <c r="C109" t="s">
        <v>286</v>
      </c>
      <c r="D109">
        <v>-0.46750668099830101</v>
      </c>
      <c r="E109">
        <v>0.22209568209328001</v>
      </c>
      <c r="F109">
        <v>-2.1049787037370198</v>
      </c>
      <c r="G109">
        <v>3.76791518091125E-2</v>
      </c>
      <c r="H109">
        <v>-0.90281421790113103</v>
      </c>
      <c r="I109">
        <v>-3.2199144095472101E-2</v>
      </c>
      <c r="J109" t="s">
        <v>44</v>
      </c>
      <c r="K109" s="9" t="s">
        <v>48</v>
      </c>
    </row>
    <row r="110" spans="1:11" x14ac:dyDescent="0.2">
      <c r="A110" s="196" t="s">
        <v>280</v>
      </c>
      <c r="B110" s="11" t="s">
        <v>7</v>
      </c>
      <c r="C110" t="s">
        <v>286</v>
      </c>
      <c r="D110">
        <v>-0.392046814618845</v>
      </c>
      <c r="E110">
        <v>0.190840960966949</v>
      </c>
      <c r="F110">
        <v>-2.0543116772857899</v>
      </c>
      <c r="G110">
        <v>4.2429165872396597E-2</v>
      </c>
      <c r="H110">
        <v>-0.76609509811406495</v>
      </c>
      <c r="I110">
        <v>-1.7998531123624699E-2</v>
      </c>
      <c r="J110" t="s">
        <v>44</v>
      </c>
      <c r="K110" s="59" t="s">
        <v>48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92AB-076B-8F4B-9054-4CF8DE15F6BD}">
  <dimension ref="A1:J531"/>
  <sheetViews>
    <sheetView zoomScale="170" zoomScaleNormal="170" workbookViewId="0">
      <selection activeCell="A495" sqref="A495"/>
    </sheetView>
  </sheetViews>
  <sheetFormatPr baseColWidth="10" defaultRowHeight="16" x14ac:dyDescent="0.2"/>
  <cols>
    <col min="1" max="1" width="11" customWidth="1"/>
    <col min="4" max="4" width="11" customWidth="1"/>
    <col min="8" max="8" width="11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250</v>
      </c>
      <c r="H1" t="s">
        <v>251</v>
      </c>
      <c r="I1" t="s">
        <v>6</v>
      </c>
      <c r="J1" t="s">
        <v>67</v>
      </c>
    </row>
    <row r="2" spans="1:10" hidden="1" x14ac:dyDescent="0.2">
      <c r="A2" s="5" t="s">
        <v>68</v>
      </c>
      <c r="B2" t="s">
        <v>18</v>
      </c>
      <c r="C2" s="11" t="s">
        <v>111</v>
      </c>
      <c r="D2" s="11">
        <v>-0.64578302740651705</v>
      </c>
      <c r="E2" s="11">
        <v>0.25927361562381201</v>
      </c>
      <c r="F2" s="11">
        <v>-2.4907394678504602</v>
      </c>
      <c r="G2" s="11">
        <v>-1.159991092959</v>
      </c>
      <c r="H2" s="11">
        <v>-0.131574961854036</v>
      </c>
      <c r="I2" s="11">
        <v>1.4345647931586001E-2</v>
      </c>
      <c r="J2" s="11" t="s">
        <v>61</v>
      </c>
    </row>
    <row r="3" spans="1:10" hidden="1" x14ac:dyDescent="0.2">
      <c r="A3" s="5" t="s">
        <v>68</v>
      </c>
      <c r="B3" t="s">
        <v>18</v>
      </c>
      <c r="C3" t="s">
        <v>202</v>
      </c>
      <c r="D3">
        <v>-0.17976776972925801</v>
      </c>
      <c r="E3">
        <v>0.22145777995181701</v>
      </c>
      <c r="F3">
        <v>-0.81174736678192405</v>
      </c>
      <c r="G3">
        <v>-0.61897704428882505</v>
      </c>
      <c r="H3">
        <v>0.25944150483030998</v>
      </c>
      <c r="I3">
        <v>0.41880860716787699</v>
      </c>
      <c r="J3" t="s">
        <v>200</v>
      </c>
    </row>
    <row r="4" spans="1:10" hidden="1" x14ac:dyDescent="0.2">
      <c r="A4" s="5" t="s">
        <v>68</v>
      </c>
      <c r="B4" t="s">
        <v>18</v>
      </c>
      <c r="C4" t="s">
        <v>96</v>
      </c>
      <c r="D4">
        <v>3.85041620712216E-2</v>
      </c>
      <c r="E4">
        <v>0.175682352112357</v>
      </c>
      <c r="F4">
        <v>0.219169208564537</v>
      </c>
      <c r="G4">
        <v>-0.30992034774268201</v>
      </c>
      <c r="H4">
        <v>0.38692867188512498</v>
      </c>
      <c r="I4">
        <v>0.82695196615067701</v>
      </c>
    </row>
    <row r="5" spans="1:10" hidden="1" x14ac:dyDescent="0.2">
      <c r="A5" s="5" t="s">
        <v>68</v>
      </c>
      <c r="B5" t="s">
        <v>25</v>
      </c>
      <c r="C5" s="11" t="s">
        <v>111</v>
      </c>
      <c r="D5" s="11">
        <v>-0.60339640373762105</v>
      </c>
      <c r="E5" s="11">
        <v>0.272869180189377</v>
      </c>
      <c r="F5" s="11">
        <v>-2.21130287897978</v>
      </c>
      <c r="G5" s="11">
        <v>-1.14456806502094</v>
      </c>
      <c r="H5" s="11">
        <v>-6.22247424543017E-2</v>
      </c>
      <c r="I5" s="11">
        <v>2.9225318163840899E-2</v>
      </c>
      <c r="J5" s="11" t="s">
        <v>61</v>
      </c>
    </row>
    <row r="6" spans="1:10" hidden="1" x14ac:dyDescent="0.2">
      <c r="A6" s="5" t="s">
        <v>68</v>
      </c>
      <c r="B6" t="s">
        <v>25</v>
      </c>
      <c r="C6" t="s">
        <v>202</v>
      </c>
      <c r="D6">
        <v>-0.12193917499200201</v>
      </c>
      <c r="E6">
        <v>0.233070390585712</v>
      </c>
      <c r="F6">
        <v>-0.52318604128806501</v>
      </c>
      <c r="G6">
        <v>-0.58417932384898996</v>
      </c>
      <c r="H6">
        <v>0.34030097386498598</v>
      </c>
      <c r="I6">
        <v>0.60196852917672605</v>
      </c>
    </row>
    <row r="7" spans="1:10" hidden="1" x14ac:dyDescent="0.2">
      <c r="A7" s="5" t="s">
        <v>68</v>
      </c>
      <c r="B7" t="s">
        <v>25</v>
      </c>
      <c r="C7" t="s">
        <v>96</v>
      </c>
      <c r="D7">
        <v>3.9077192203099999E-2</v>
      </c>
      <c r="E7">
        <v>0.18489463063683101</v>
      </c>
      <c r="F7">
        <v>0.211348442453449</v>
      </c>
      <c r="G7">
        <v>-0.32761769930005902</v>
      </c>
      <c r="H7">
        <v>0.405772083706259</v>
      </c>
      <c r="I7">
        <v>0.83303299387313101</v>
      </c>
    </row>
    <row r="8" spans="1:10" hidden="1" x14ac:dyDescent="0.2">
      <c r="A8" s="5" t="s">
        <v>68</v>
      </c>
      <c r="B8" t="s">
        <v>14</v>
      </c>
      <c r="C8" s="11" t="s">
        <v>111</v>
      </c>
      <c r="D8" s="11">
        <v>-0.64090913582026399</v>
      </c>
      <c r="E8" s="11">
        <v>0.25872132703109801</v>
      </c>
      <c r="F8" s="11">
        <v>-2.4772180290464698</v>
      </c>
      <c r="G8" s="11">
        <v>-1.1540218672092499</v>
      </c>
      <c r="H8" s="11">
        <v>-0.12779640443127999</v>
      </c>
      <c r="I8" s="11">
        <v>1.4868112728954601E-2</v>
      </c>
      <c r="J8" s="11" t="s">
        <v>61</v>
      </c>
    </row>
    <row r="9" spans="1:10" hidden="1" x14ac:dyDescent="0.2">
      <c r="A9" s="5" t="s">
        <v>68</v>
      </c>
      <c r="B9" t="s">
        <v>14</v>
      </c>
      <c r="C9" t="s">
        <v>202</v>
      </c>
      <c r="D9">
        <v>-0.24174975357510001</v>
      </c>
      <c r="E9">
        <v>0.22098604430937199</v>
      </c>
      <c r="F9">
        <v>-1.0939593689303699</v>
      </c>
      <c r="G9">
        <v>-0.68002345174919698</v>
      </c>
      <c r="H9">
        <v>0.196523944598996</v>
      </c>
      <c r="I9">
        <v>0.27652457218250298</v>
      </c>
    </row>
    <row r="10" spans="1:10" hidden="1" x14ac:dyDescent="0.2">
      <c r="A10" s="5" t="s">
        <v>68</v>
      </c>
      <c r="B10" t="s">
        <v>14</v>
      </c>
      <c r="C10" t="s">
        <v>96</v>
      </c>
      <c r="D10">
        <v>-9.0438802489534606E-2</v>
      </c>
      <c r="E10">
        <v>0.17530812445028199</v>
      </c>
      <c r="F10">
        <v>-0.51588483290849196</v>
      </c>
      <c r="G10">
        <v>-0.43812111999926101</v>
      </c>
      <c r="H10">
        <v>0.25724351502019199</v>
      </c>
      <c r="I10">
        <v>0.60704049853682096</v>
      </c>
    </row>
    <row r="11" spans="1:10" hidden="1" x14ac:dyDescent="0.2">
      <c r="A11" s="5" t="s">
        <v>68</v>
      </c>
      <c r="B11" t="s">
        <v>7</v>
      </c>
      <c r="C11" s="11" t="s">
        <v>111</v>
      </c>
      <c r="D11" s="11">
        <v>-0.68993236821612802</v>
      </c>
      <c r="E11" s="11">
        <v>0.230527766198447</v>
      </c>
      <c r="F11" s="11">
        <v>-2.9928384749202301</v>
      </c>
      <c r="G11" s="11">
        <v>-1.1471298212922301</v>
      </c>
      <c r="H11" s="11">
        <v>-0.232734915140029</v>
      </c>
      <c r="I11" s="11">
        <v>3.4599340546393599E-3</v>
      </c>
      <c r="J11" s="11" t="s">
        <v>61</v>
      </c>
    </row>
    <row r="12" spans="1:10" hidden="1" x14ac:dyDescent="0.2">
      <c r="A12" s="5" t="s">
        <v>68</v>
      </c>
      <c r="B12" t="s">
        <v>7</v>
      </c>
      <c r="C12" t="s">
        <v>202</v>
      </c>
      <c r="D12">
        <v>-0.13791060114921799</v>
      </c>
      <c r="E12">
        <v>0.19690459901493701</v>
      </c>
      <c r="F12">
        <v>-0.70039299152558698</v>
      </c>
      <c r="G12">
        <v>-0.52842443231653702</v>
      </c>
      <c r="H12">
        <v>0.25260323001810098</v>
      </c>
      <c r="I12">
        <v>0.48526099653167898</v>
      </c>
    </row>
    <row r="13" spans="1:10" hidden="1" x14ac:dyDescent="0.2">
      <c r="A13" s="5" t="s">
        <v>68</v>
      </c>
      <c r="B13" t="s">
        <v>7</v>
      </c>
      <c r="C13" t="s">
        <v>96</v>
      </c>
      <c r="D13">
        <v>-6.2250444205908202E-2</v>
      </c>
      <c r="E13">
        <v>0.15620432528589001</v>
      </c>
      <c r="F13">
        <v>-0.39851933736133999</v>
      </c>
      <c r="G13">
        <v>-0.37204488180394402</v>
      </c>
      <c r="H13">
        <v>0.24754399339212799</v>
      </c>
      <c r="I13">
        <v>0.69107233184934602</v>
      </c>
    </row>
    <row r="14" spans="1:10" hidden="1" x14ac:dyDescent="0.2">
      <c r="A14" s="5" t="s">
        <v>68</v>
      </c>
      <c r="B14" t="s">
        <v>21</v>
      </c>
      <c r="C14" t="s">
        <v>111</v>
      </c>
      <c r="D14">
        <v>-0.13003666720172899</v>
      </c>
      <c r="E14">
        <v>0.29918894917736</v>
      </c>
      <c r="F14">
        <v>-0.43463058231018697</v>
      </c>
      <c r="G14">
        <v>-0.72340738261763404</v>
      </c>
      <c r="H14">
        <v>0.46333404821417601</v>
      </c>
      <c r="I14">
        <v>0.66473980919347297</v>
      </c>
    </row>
    <row r="15" spans="1:10" hidden="1" x14ac:dyDescent="0.2">
      <c r="A15" s="5" t="s">
        <v>68</v>
      </c>
      <c r="B15" t="s">
        <v>21</v>
      </c>
      <c r="C15" t="s">
        <v>202</v>
      </c>
      <c r="D15">
        <v>-0.16170965250625899</v>
      </c>
      <c r="E15">
        <v>0.25555134220471698</v>
      </c>
      <c r="F15">
        <v>-0.63278733389205399</v>
      </c>
      <c r="G15">
        <v>-0.66853546664960495</v>
      </c>
      <c r="H15">
        <v>0.34511616163708803</v>
      </c>
      <c r="I15">
        <v>0.52827488934784705</v>
      </c>
    </row>
    <row r="16" spans="1:10" hidden="1" x14ac:dyDescent="0.2">
      <c r="A16" s="5" t="s">
        <v>68</v>
      </c>
      <c r="B16" t="s">
        <v>21</v>
      </c>
      <c r="C16" t="s">
        <v>96</v>
      </c>
      <c r="D16">
        <v>0.244066890981538</v>
      </c>
      <c r="E16">
        <v>0.202728758925348</v>
      </c>
      <c r="F16">
        <v>1.2039085735803901</v>
      </c>
      <c r="G16">
        <v>-0.15799778770952599</v>
      </c>
      <c r="H16">
        <v>0.64613156967260299</v>
      </c>
      <c r="I16">
        <v>0.23138438907053699</v>
      </c>
    </row>
    <row r="17" spans="1:10" hidden="1" x14ac:dyDescent="0.2">
      <c r="A17" s="5" t="s">
        <v>68</v>
      </c>
      <c r="B17" t="s">
        <v>11</v>
      </c>
      <c r="C17" s="11" t="s">
        <v>111</v>
      </c>
      <c r="D17" s="11">
        <v>-0.72637997620529804</v>
      </c>
      <c r="E17" s="11">
        <v>0.26433719933219602</v>
      </c>
      <c r="F17" s="11">
        <v>-2.74792945540913</v>
      </c>
      <c r="G17" s="11">
        <v>-1.2506304657706799</v>
      </c>
      <c r="H17" s="11">
        <v>-0.202129486639919</v>
      </c>
      <c r="I17" s="11">
        <v>7.0819366894713199E-3</v>
      </c>
      <c r="J17" s="11" t="s">
        <v>61</v>
      </c>
    </row>
    <row r="18" spans="1:10" hidden="1" x14ac:dyDescent="0.2">
      <c r="A18" s="5" t="s">
        <v>68</v>
      </c>
      <c r="B18" t="s">
        <v>11</v>
      </c>
      <c r="C18" t="s">
        <v>202</v>
      </c>
      <c r="D18">
        <v>0.100890950065802</v>
      </c>
      <c r="E18">
        <v>0.22578282476580999</v>
      </c>
      <c r="F18">
        <v>0.44684953415057099</v>
      </c>
      <c r="G18">
        <v>-0.34689603079789699</v>
      </c>
      <c r="H18">
        <v>0.54867793092950101</v>
      </c>
      <c r="I18">
        <v>0.65592187037232597</v>
      </c>
    </row>
    <row r="19" spans="1:10" hidden="1" x14ac:dyDescent="0.2">
      <c r="A19" s="5" t="s">
        <v>68</v>
      </c>
      <c r="B19" t="s">
        <v>11</v>
      </c>
      <c r="C19" t="s">
        <v>96</v>
      </c>
      <c r="D19">
        <v>-8.7123218301144695E-2</v>
      </c>
      <c r="E19">
        <v>0.17911340811806201</v>
      </c>
      <c r="F19">
        <v>-0.486413715291028</v>
      </c>
      <c r="G19">
        <v>-0.442352418469872</v>
      </c>
      <c r="H19">
        <v>0.268105981867582</v>
      </c>
      <c r="I19">
        <v>0.62770722576922799</v>
      </c>
    </row>
    <row r="20" spans="1:10" hidden="1" x14ac:dyDescent="0.2">
      <c r="A20" s="5" t="s">
        <v>68</v>
      </c>
      <c r="B20" t="s">
        <v>13</v>
      </c>
      <c r="C20" t="s">
        <v>111</v>
      </c>
      <c r="D20">
        <v>-0.42197663963418502</v>
      </c>
      <c r="E20">
        <v>0.26580611046942598</v>
      </c>
      <c r="F20">
        <v>-1.5875355118396399</v>
      </c>
      <c r="G20">
        <v>-0.94914036798989099</v>
      </c>
      <c r="H20">
        <v>0.10518708872152099</v>
      </c>
      <c r="I20">
        <v>0.115456613353321</v>
      </c>
    </row>
    <row r="21" spans="1:10" hidden="1" x14ac:dyDescent="0.2">
      <c r="A21" s="5" t="s">
        <v>68</v>
      </c>
      <c r="B21" t="s">
        <v>13</v>
      </c>
      <c r="C21" t="s">
        <v>202</v>
      </c>
      <c r="D21">
        <v>-7.7113296450026098E-2</v>
      </c>
      <c r="E21">
        <v>0.227037490801206</v>
      </c>
      <c r="F21">
        <v>-0.33965005593524</v>
      </c>
      <c r="G21">
        <v>-0.52738861147539096</v>
      </c>
      <c r="H21">
        <v>0.37316201857533798</v>
      </c>
      <c r="I21">
        <v>0.73481167961177096</v>
      </c>
    </row>
    <row r="22" spans="1:10" hidden="1" x14ac:dyDescent="0.2">
      <c r="A22" s="5" t="s">
        <v>68</v>
      </c>
      <c r="B22" t="s">
        <v>13</v>
      </c>
      <c r="C22" t="s">
        <v>96</v>
      </c>
      <c r="D22">
        <v>0.11651417213460601</v>
      </c>
      <c r="E22">
        <v>0.18010873409063199</v>
      </c>
      <c r="F22">
        <v>0.64691017191856304</v>
      </c>
      <c r="G22">
        <v>-0.240689022347882</v>
      </c>
      <c r="H22">
        <v>0.47371736661709302</v>
      </c>
      <c r="I22">
        <v>0.51912914267854704</v>
      </c>
    </row>
    <row r="23" spans="1:10" hidden="1" x14ac:dyDescent="0.2">
      <c r="A23" s="5" t="s">
        <v>68</v>
      </c>
      <c r="B23" t="s">
        <v>17</v>
      </c>
      <c r="C23" t="s">
        <v>111</v>
      </c>
      <c r="D23">
        <v>-0.18813972415091301</v>
      </c>
      <c r="E23">
        <v>0.30229347465058098</v>
      </c>
      <c r="F23">
        <v>-0.62237441403054605</v>
      </c>
      <c r="G23">
        <v>-0.78766753362439501</v>
      </c>
      <c r="H23">
        <v>0.41138808532256799</v>
      </c>
      <c r="I23">
        <v>0.53507109536005304</v>
      </c>
    </row>
    <row r="24" spans="1:10" hidden="1" x14ac:dyDescent="0.2">
      <c r="A24" s="5" t="s">
        <v>68</v>
      </c>
      <c r="B24" t="s">
        <v>17</v>
      </c>
      <c r="C24" t="s">
        <v>202</v>
      </c>
      <c r="D24">
        <v>-0.22501725784198201</v>
      </c>
      <c r="E24">
        <v>0.25820306331197002</v>
      </c>
      <c r="F24">
        <v>-0.87147400559732602</v>
      </c>
      <c r="G24">
        <v>-0.73710213537928304</v>
      </c>
      <c r="H24">
        <v>0.28706761969531802</v>
      </c>
      <c r="I24">
        <v>0.38552217896565799</v>
      </c>
    </row>
    <row r="25" spans="1:10" hidden="1" x14ac:dyDescent="0.2">
      <c r="A25" s="5" t="s">
        <v>68</v>
      </c>
      <c r="B25" t="s">
        <v>17</v>
      </c>
      <c r="C25" t="s">
        <v>96</v>
      </c>
      <c r="D25">
        <v>0.27618125051933801</v>
      </c>
      <c r="E25">
        <v>0.20483236802578</v>
      </c>
      <c r="F25">
        <v>1.34832816307908</v>
      </c>
      <c r="G25">
        <v>-0.130055440675233</v>
      </c>
      <c r="H25">
        <v>0.68241794171390902</v>
      </c>
      <c r="I25">
        <v>0.18051039562486701</v>
      </c>
    </row>
    <row r="26" spans="1:10" hidden="1" x14ac:dyDescent="0.2">
      <c r="A26" s="5" t="s">
        <v>68</v>
      </c>
      <c r="B26" t="s">
        <v>26</v>
      </c>
      <c r="C26" t="s">
        <v>111</v>
      </c>
      <c r="D26">
        <v>-6.1321680010185703E-2</v>
      </c>
      <c r="E26">
        <v>0.30616541188605501</v>
      </c>
      <c r="F26">
        <v>-0.20028937832144</v>
      </c>
      <c r="G26">
        <v>-0.66852856377359604</v>
      </c>
      <c r="H26">
        <v>0.54588520375322502</v>
      </c>
      <c r="I26">
        <v>0.84164920120991504</v>
      </c>
    </row>
    <row r="27" spans="1:10" hidden="1" x14ac:dyDescent="0.2">
      <c r="A27" s="5" t="s">
        <v>68</v>
      </c>
      <c r="B27" t="s">
        <v>26</v>
      </c>
      <c r="C27" t="s">
        <v>202</v>
      </c>
      <c r="D27">
        <v>-0.277628426968764</v>
      </c>
      <c r="E27">
        <v>0.26151026687071899</v>
      </c>
      <c r="F27">
        <v>-1.06163490363464</v>
      </c>
      <c r="G27">
        <v>-0.79627236274360003</v>
      </c>
      <c r="H27">
        <v>0.241015508806072</v>
      </c>
      <c r="I27">
        <v>0.29088438955742602</v>
      </c>
    </row>
    <row r="28" spans="1:10" hidden="1" x14ac:dyDescent="0.2">
      <c r="A28" s="5" t="s">
        <v>68</v>
      </c>
      <c r="B28" t="s">
        <v>26</v>
      </c>
      <c r="C28" s="11" t="s">
        <v>96</v>
      </c>
      <c r="D28" s="11">
        <v>0.41658530820885598</v>
      </c>
      <c r="E28" s="11">
        <v>0.20745597104501901</v>
      </c>
      <c r="F28" s="11">
        <v>2.00806612656358</v>
      </c>
      <c r="G28" s="11">
        <v>5.1453192161099396E-3</v>
      </c>
      <c r="H28" s="11">
        <v>0.82802529720160301</v>
      </c>
      <c r="I28" s="11">
        <v>4.7254386187363301E-2</v>
      </c>
      <c r="J28" s="11" t="s">
        <v>61</v>
      </c>
    </row>
    <row r="29" spans="1:10" hidden="1" x14ac:dyDescent="0.2">
      <c r="A29" s="5" t="s">
        <v>68</v>
      </c>
      <c r="B29" t="s">
        <v>9</v>
      </c>
      <c r="C29" s="11" t="s">
        <v>111</v>
      </c>
      <c r="D29" s="11">
        <v>-0.48829947767244197</v>
      </c>
      <c r="E29" s="11">
        <v>0.230151306877654</v>
      </c>
      <c r="F29" s="11">
        <v>-2.1216454700907601</v>
      </c>
      <c r="G29" s="11">
        <v>-0.944750312475646</v>
      </c>
      <c r="H29" s="11">
        <v>-3.1848642869238601E-2</v>
      </c>
      <c r="I29" s="11">
        <v>3.6266398092855402E-2</v>
      </c>
      <c r="J29" s="11" t="s">
        <v>61</v>
      </c>
    </row>
    <row r="30" spans="1:10" hidden="1" x14ac:dyDescent="0.2">
      <c r="A30" s="5" t="s">
        <v>68</v>
      </c>
      <c r="B30" t="s">
        <v>9</v>
      </c>
      <c r="C30" t="s">
        <v>202</v>
      </c>
      <c r="D30">
        <v>-0.249881769690321</v>
      </c>
      <c r="E30">
        <v>0.196583047416929</v>
      </c>
      <c r="F30">
        <v>-1.2711257301874599</v>
      </c>
      <c r="G30">
        <v>-0.63975787910261706</v>
      </c>
      <c r="H30">
        <v>0.139994339721975</v>
      </c>
      <c r="I30">
        <v>0.20654709146198999</v>
      </c>
    </row>
    <row r="31" spans="1:10" hidden="1" x14ac:dyDescent="0.2">
      <c r="A31" s="5" t="s">
        <v>68</v>
      </c>
      <c r="B31" t="s">
        <v>9</v>
      </c>
      <c r="C31" t="s">
        <v>96</v>
      </c>
      <c r="D31">
        <v>-0.10396058345901001</v>
      </c>
      <c r="E31">
        <v>0.15594923855524701</v>
      </c>
      <c r="F31">
        <v>-0.66663091414954501</v>
      </c>
      <c r="G31">
        <v>-0.41324911669035302</v>
      </c>
      <c r="H31">
        <v>0.20532794977233401</v>
      </c>
      <c r="I31">
        <v>0.50649844186321302</v>
      </c>
    </row>
    <row r="32" spans="1:10" hidden="1" x14ac:dyDescent="0.2">
      <c r="A32" s="38" t="s">
        <v>75</v>
      </c>
      <c r="B32" t="s">
        <v>18</v>
      </c>
      <c r="C32" t="s">
        <v>201</v>
      </c>
      <c r="D32">
        <v>-7.4596010346890396E-2</v>
      </c>
      <c r="E32">
        <v>0.26612649586056197</v>
      </c>
      <c r="F32">
        <v>-0.28030283157515901</v>
      </c>
      <c r="G32">
        <v>-0.60239514756134405</v>
      </c>
      <c r="H32">
        <v>0.45320312686756298</v>
      </c>
      <c r="I32">
        <v>0.77980737944608902</v>
      </c>
    </row>
    <row r="33" spans="1:10" hidden="1" x14ac:dyDescent="0.2">
      <c r="A33" s="38" t="s">
        <v>75</v>
      </c>
      <c r="B33" t="s">
        <v>18</v>
      </c>
      <c r="C33" t="s">
        <v>123</v>
      </c>
      <c r="D33">
        <v>-0.415057714230958</v>
      </c>
      <c r="E33">
        <v>0.26744188983491601</v>
      </c>
      <c r="F33">
        <v>-1.55195476104047</v>
      </c>
      <c r="G33">
        <v>-0.94546562515099897</v>
      </c>
      <c r="H33">
        <v>0.115350196689082</v>
      </c>
      <c r="I33">
        <v>0.123740388691065</v>
      </c>
    </row>
    <row r="34" spans="1:10" hidden="1" x14ac:dyDescent="0.2">
      <c r="A34" s="38" t="s">
        <v>75</v>
      </c>
      <c r="B34" t="s">
        <v>18</v>
      </c>
      <c r="C34" s="11" t="s">
        <v>116</v>
      </c>
      <c r="D34" s="11">
        <v>-0.84918926403636297</v>
      </c>
      <c r="E34" s="11">
        <v>0.37886045616561298</v>
      </c>
      <c r="F34" s="11">
        <v>-2.24143018944461</v>
      </c>
      <c r="G34" s="11">
        <v>-1.60056962262214</v>
      </c>
      <c r="H34" s="11">
        <v>-9.78089054505865E-2</v>
      </c>
      <c r="I34" s="11">
        <v>2.71434065109541E-2</v>
      </c>
      <c r="J34" s="11" t="s">
        <v>61</v>
      </c>
    </row>
    <row r="35" spans="1:10" hidden="1" x14ac:dyDescent="0.2">
      <c r="A35" s="38" t="s">
        <v>75</v>
      </c>
      <c r="B35" t="s">
        <v>25</v>
      </c>
      <c r="C35" t="s">
        <v>201</v>
      </c>
      <c r="D35">
        <v>-0.112956196980861</v>
      </c>
      <c r="E35">
        <v>0.28008140580531099</v>
      </c>
      <c r="F35">
        <v>-0.40329773644230599</v>
      </c>
      <c r="G35">
        <v>-0.66843160673227897</v>
      </c>
      <c r="H35">
        <v>0.442519212770557</v>
      </c>
      <c r="I35">
        <v>0.68756517583424603</v>
      </c>
    </row>
    <row r="36" spans="1:10" hidden="1" x14ac:dyDescent="0.2">
      <c r="A36" s="38" t="s">
        <v>75</v>
      </c>
      <c r="B36" t="s">
        <v>25</v>
      </c>
      <c r="C36" t="s">
        <v>123</v>
      </c>
      <c r="D36">
        <v>-0.43523082708967997</v>
      </c>
      <c r="E36">
        <v>0.28146577526590699</v>
      </c>
      <c r="F36">
        <v>-1.5463010615713599</v>
      </c>
      <c r="G36">
        <v>-0.99345180715541703</v>
      </c>
      <c r="H36">
        <v>0.122990152976058</v>
      </c>
      <c r="I36">
        <v>0.125098973782274</v>
      </c>
    </row>
    <row r="37" spans="1:10" hidden="1" x14ac:dyDescent="0.2">
      <c r="A37" s="38" t="s">
        <v>75</v>
      </c>
      <c r="B37" t="s">
        <v>25</v>
      </c>
      <c r="C37" s="11" t="s">
        <v>116</v>
      </c>
      <c r="D37" s="11">
        <v>-0.79206537405454402</v>
      </c>
      <c r="E37" s="11">
        <v>0.39872681156296502</v>
      </c>
      <c r="F37" s="11">
        <v>-1.98648636380818</v>
      </c>
      <c r="G37" s="11">
        <v>-1.58284596298721</v>
      </c>
      <c r="H37" s="11">
        <v>-1.28478512187302E-3</v>
      </c>
      <c r="I37" s="11">
        <v>4.9635795793706999E-2</v>
      </c>
      <c r="J37" s="11" t="s">
        <v>61</v>
      </c>
    </row>
    <row r="38" spans="1:10" hidden="1" x14ac:dyDescent="0.2">
      <c r="A38" s="38" t="s">
        <v>75</v>
      </c>
      <c r="B38" t="s">
        <v>14</v>
      </c>
      <c r="C38" t="s">
        <v>201</v>
      </c>
      <c r="D38">
        <v>-0.125764449511962</v>
      </c>
      <c r="E38">
        <v>0.26555960968693798</v>
      </c>
      <c r="F38">
        <v>-0.473582747241656</v>
      </c>
      <c r="G38">
        <v>-0.65243930170409903</v>
      </c>
      <c r="H38">
        <v>0.40091040268017603</v>
      </c>
      <c r="I38">
        <v>0.63679972818824804</v>
      </c>
    </row>
    <row r="39" spans="1:10" hidden="1" x14ac:dyDescent="0.2">
      <c r="A39" s="38" t="s">
        <v>75</v>
      </c>
      <c r="B39" t="s">
        <v>14</v>
      </c>
      <c r="C39" t="s">
        <v>123</v>
      </c>
      <c r="D39">
        <v>-0.29105134242874697</v>
      </c>
      <c r="E39">
        <v>0.26687220169054199</v>
      </c>
      <c r="F39">
        <v>-1.09060194574421</v>
      </c>
      <c r="G39">
        <v>-0.82032941127835002</v>
      </c>
      <c r="H39">
        <v>0.23822672642085599</v>
      </c>
      <c r="I39">
        <v>0.277992845342386</v>
      </c>
    </row>
    <row r="40" spans="1:10" hidden="1" x14ac:dyDescent="0.2">
      <c r="A40" s="38" t="s">
        <v>75</v>
      </c>
      <c r="B40" t="s">
        <v>14</v>
      </c>
      <c r="C40" s="11" t="s">
        <v>116</v>
      </c>
      <c r="D40" s="11">
        <v>-0.90031529909090802</v>
      </c>
      <c r="E40" s="11">
        <v>0.378053431094176</v>
      </c>
      <c r="F40" s="11">
        <v>-2.3814498825871899</v>
      </c>
      <c r="G40" s="11">
        <v>-1.65009511378857</v>
      </c>
      <c r="H40" s="11">
        <v>-0.15053548439324699</v>
      </c>
      <c r="I40" s="11">
        <v>1.9081189614105199E-2</v>
      </c>
      <c r="J40" s="11" t="s">
        <v>61</v>
      </c>
    </row>
    <row r="41" spans="1:10" hidden="1" x14ac:dyDescent="0.2">
      <c r="A41" s="38" t="s">
        <v>75</v>
      </c>
      <c r="B41" t="s">
        <v>7</v>
      </c>
      <c r="C41" t="s">
        <v>201</v>
      </c>
      <c r="D41">
        <v>-0.226315023842105</v>
      </c>
      <c r="E41">
        <v>0.236620862748987</v>
      </c>
      <c r="F41">
        <v>-0.95644577241773199</v>
      </c>
      <c r="G41">
        <v>-0.695596696837532</v>
      </c>
      <c r="H41">
        <v>0.242966649153322</v>
      </c>
      <c r="I41">
        <v>0.34108659077661502</v>
      </c>
    </row>
    <row r="42" spans="1:10" hidden="1" x14ac:dyDescent="0.2">
      <c r="A42" s="38" t="s">
        <v>75</v>
      </c>
      <c r="B42" t="s">
        <v>7</v>
      </c>
      <c r="C42" s="20" t="s">
        <v>123</v>
      </c>
      <c r="D42" s="20">
        <v>-0.45134442395945901</v>
      </c>
      <c r="E42" s="20">
        <v>0.23779041806162099</v>
      </c>
      <c r="F42" s="20">
        <v>-1.89807658205343</v>
      </c>
      <c r="G42" s="20">
        <v>-0.922945634071762</v>
      </c>
      <c r="H42" s="20">
        <v>2.0256786152845301E-2</v>
      </c>
      <c r="I42" s="20">
        <v>6.0485541494662197E-2</v>
      </c>
      <c r="J42" s="20" t="s">
        <v>200</v>
      </c>
    </row>
    <row r="43" spans="1:10" hidden="1" x14ac:dyDescent="0.2">
      <c r="A43" s="38" t="s">
        <v>75</v>
      </c>
      <c r="B43" t="s">
        <v>7</v>
      </c>
      <c r="C43" s="11" t="s">
        <v>116</v>
      </c>
      <c r="D43" s="11">
        <v>-0.95348065009999705</v>
      </c>
      <c r="E43" s="11">
        <v>0.33685592901787798</v>
      </c>
      <c r="F43" s="11">
        <v>-2.8305295171140998</v>
      </c>
      <c r="G43" s="11">
        <v>-1.6215549360755099</v>
      </c>
      <c r="H43" s="11">
        <v>-0.285406364124486</v>
      </c>
      <c r="I43" s="11">
        <v>5.5884607661333902E-3</v>
      </c>
      <c r="J43" s="11" t="s">
        <v>61</v>
      </c>
    </row>
    <row r="44" spans="1:10" hidden="1" x14ac:dyDescent="0.2">
      <c r="A44" s="38" t="s">
        <v>75</v>
      </c>
      <c r="B44" t="s">
        <v>21</v>
      </c>
      <c r="C44" t="s">
        <v>201</v>
      </c>
      <c r="D44">
        <v>0.32185555073684402</v>
      </c>
      <c r="E44">
        <v>0.307096834566849</v>
      </c>
      <c r="F44">
        <v>1.0480588352231399</v>
      </c>
      <c r="G44">
        <v>-0.28719859023301297</v>
      </c>
      <c r="H44">
        <v>0.93090969170670101</v>
      </c>
      <c r="I44">
        <v>0.29706459350344699</v>
      </c>
    </row>
    <row r="45" spans="1:10" hidden="1" x14ac:dyDescent="0.2">
      <c r="A45" s="38" t="s">
        <v>75</v>
      </c>
      <c r="B45" t="s">
        <v>21</v>
      </c>
      <c r="C45" t="s">
        <v>123</v>
      </c>
      <c r="D45">
        <v>-6.3748710324322305E-2</v>
      </c>
      <c r="E45">
        <v>0.30861473425746799</v>
      </c>
      <c r="F45">
        <v>-0.20656405300188499</v>
      </c>
      <c r="G45">
        <v>-0.67581324732594705</v>
      </c>
      <c r="H45">
        <v>0.54831582667730205</v>
      </c>
      <c r="I45">
        <v>0.83675811869794003</v>
      </c>
    </row>
    <row r="46" spans="1:10" hidden="1" x14ac:dyDescent="0.2">
      <c r="A46" s="38" t="s">
        <v>75</v>
      </c>
      <c r="B46" t="s">
        <v>21</v>
      </c>
      <c r="C46" t="s">
        <v>116</v>
      </c>
      <c r="D46">
        <v>-6.5312464599998593E-2</v>
      </c>
      <c r="E46">
        <v>0.43718625781617998</v>
      </c>
      <c r="F46">
        <v>-0.149392766657958</v>
      </c>
      <c r="G46">
        <v>-0.93236829431451296</v>
      </c>
      <c r="H46">
        <v>0.80174336511451505</v>
      </c>
      <c r="I46">
        <v>0.88153584507804505</v>
      </c>
    </row>
    <row r="47" spans="1:10" hidden="1" x14ac:dyDescent="0.2">
      <c r="A47" s="38" t="s">
        <v>75</v>
      </c>
      <c r="B47" t="s">
        <v>11</v>
      </c>
      <c r="C47" s="20" t="s">
        <v>201</v>
      </c>
      <c r="D47" s="20">
        <v>-0.503663326339712</v>
      </c>
      <c r="E47" s="20">
        <v>0.27132391552691298</v>
      </c>
      <c r="F47" s="20">
        <v>-1.85631747707015</v>
      </c>
      <c r="G47" s="20">
        <v>-1.04177031962378</v>
      </c>
      <c r="H47" s="20">
        <v>3.4443666944355397E-2</v>
      </c>
      <c r="I47" s="20">
        <v>6.6266630458752807E-2</v>
      </c>
      <c r="J47" s="20" t="s">
        <v>200</v>
      </c>
    </row>
    <row r="48" spans="1:10" hidden="1" x14ac:dyDescent="0.2">
      <c r="A48" s="38" t="s">
        <v>75</v>
      </c>
      <c r="B48" t="s">
        <v>11</v>
      </c>
      <c r="C48" s="11" t="s">
        <v>123</v>
      </c>
      <c r="D48" s="11">
        <v>-0.71162226407370799</v>
      </c>
      <c r="E48" s="11">
        <v>0.27266499899336</v>
      </c>
      <c r="F48" s="11">
        <v>-2.6098775666143998</v>
      </c>
      <c r="G48" s="11">
        <v>-1.2523889801119299</v>
      </c>
      <c r="H48" s="11">
        <v>-0.170855548035486</v>
      </c>
      <c r="I48" s="11">
        <v>1.04066274959091E-2</v>
      </c>
      <c r="J48" s="11" t="s">
        <v>61</v>
      </c>
    </row>
    <row r="49" spans="1:10" hidden="1" x14ac:dyDescent="0.2">
      <c r="A49" s="38" t="s">
        <v>75</v>
      </c>
      <c r="B49" t="s">
        <v>11</v>
      </c>
      <c r="C49" s="11" t="s">
        <v>116</v>
      </c>
      <c r="D49" s="11">
        <v>-1.01350369028181</v>
      </c>
      <c r="E49" s="11">
        <v>0.38625955703045001</v>
      </c>
      <c r="F49" s="11">
        <v>-2.6238928508943502</v>
      </c>
      <c r="G49" s="11">
        <v>-1.7795584203163799</v>
      </c>
      <c r="H49" s="11">
        <v>-0.247448960247246</v>
      </c>
      <c r="I49" s="11">
        <v>1.0014134160605001E-2</v>
      </c>
      <c r="J49" s="11" t="s">
        <v>61</v>
      </c>
    </row>
    <row r="50" spans="1:10" hidden="1" x14ac:dyDescent="0.2">
      <c r="A50" s="38" t="s">
        <v>75</v>
      </c>
      <c r="B50" t="s">
        <v>13</v>
      </c>
      <c r="C50" t="s">
        <v>201</v>
      </c>
      <c r="D50">
        <v>-7.3869500837317704E-3</v>
      </c>
      <c r="E50">
        <v>0.27283165156376699</v>
      </c>
      <c r="F50">
        <v>-2.7075121384900199E-2</v>
      </c>
      <c r="G50">
        <v>-0.54848418218947603</v>
      </c>
      <c r="H50">
        <v>0.53371028202201198</v>
      </c>
      <c r="I50">
        <v>0.97845220652601295</v>
      </c>
    </row>
    <row r="51" spans="1:10" hidden="1" x14ac:dyDescent="0.2">
      <c r="A51" s="38" t="s">
        <v>75</v>
      </c>
      <c r="B51" t="s">
        <v>13</v>
      </c>
      <c r="C51" t="s">
        <v>123</v>
      </c>
      <c r="D51">
        <v>-0.35242080585257901</v>
      </c>
      <c r="E51">
        <v>0.27418018737685601</v>
      </c>
      <c r="F51">
        <v>-1.2853620432032999</v>
      </c>
      <c r="G51">
        <v>-0.89619254068436605</v>
      </c>
      <c r="H51">
        <v>0.191350928979208</v>
      </c>
      <c r="I51">
        <v>0.201548421235794</v>
      </c>
    </row>
    <row r="52" spans="1:10" hidden="1" x14ac:dyDescent="0.2">
      <c r="A52" s="38" t="s">
        <v>75</v>
      </c>
      <c r="B52" t="s">
        <v>13</v>
      </c>
      <c r="C52" t="s">
        <v>116</v>
      </c>
      <c r="D52">
        <v>-0.51403434883636301</v>
      </c>
      <c r="E52">
        <v>0.388405985783636</v>
      </c>
      <c r="F52">
        <v>-1.32344600148029</v>
      </c>
      <c r="G52">
        <v>-1.28434601405644</v>
      </c>
      <c r="H52">
        <v>0.25627731638371198</v>
      </c>
      <c r="I52">
        <v>0.188617243542161</v>
      </c>
    </row>
    <row r="53" spans="1:10" hidden="1" x14ac:dyDescent="0.2">
      <c r="A53" s="38" t="s">
        <v>75</v>
      </c>
      <c r="B53" t="s">
        <v>17</v>
      </c>
      <c r="C53" t="s">
        <v>201</v>
      </c>
      <c r="D53">
        <v>0.38790263545693898</v>
      </c>
      <c r="E53">
        <v>0.31028341598397602</v>
      </c>
      <c r="F53">
        <v>1.2501558751595401</v>
      </c>
      <c r="G53">
        <v>-0.22747133818190801</v>
      </c>
      <c r="H53">
        <v>1.0032766090957901</v>
      </c>
      <c r="I53">
        <v>0.214075494873917</v>
      </c>
    </row>
    <row r="54" spans="1:10" hidden="1" x14ac:dyDescent="0.2">
      <c r="A54" s="38" t="s">
        <v>75</v>
      </c>
      <c r="B54" t="s">
        <v>17</v>
      </c>
      <c r="C54" t="s">
        <v>123</v>
      </c>
      <c r="D54">
        <v>-6.6772037200244605E-2</v>
      </c>
      <c r="E54">
        <v>0.31181706611680998</v>
      </c>
      <c r="F54">
        <v>-0.214138494828988</v>
      </c>
      <c r="G54">
        <v>-0.68518764415816902</v>
      </c>
      <c r="H54">
        <v>0.55164356975767903</v>
      </c>
      <c r="I54">
        <v>0.83086240830871405</v>
      </c>
    </row>
    <row r="55" spans="1:10" hidden="1" x14ac:dyDescent="0.2">
      <c r="A55" s="38" t="s">
        <v>75</v>
      </c>
      <c r="B55" t="s">
        <v>17</v>
      </c>
      <c r="C55" t="s">
        <v>116</v>
      </c>
      <c r="D55">
        <v>-0.128903917427272</v>
      </c>
      <c r="E55">
        <v>0.44172270836913202</v>
      </c>
      <c r="F55">
        <v>-0.29182089800905497</v>
      </c>
      <c r="G55">
        <v>-1.00495672686799</v>
      </c>
      <c r="H55">
        <v>0.74714889201344903</v>
      </c>
      <c r="I55">
        <v>0.77101050345285604</v>
      </c>
    </row>
    <row r="56" spans="1:10" hidden="1" x14ac:dyDescent="0.2">
      <c r="A56" s="38" t="s">
        <v>75</v>
      </c>
      <c r="B56" t="s">
        <v>26</v>
      </c>
      <c r="C56" s="20" t="s">
        <v>201</v>
      </c>
      <c r="D56" s="20">
        <v>0.62280976500239404</v>
      </c>
      <c r="E56" s="20">
        <v>0.31425769268077602</v>
      </c>
      <c r="F56" s="20">
        <v>1.9818441346320399</v>
      </c>
      <c r="G56" s="20">
        <v>-4.4624911062485201E-4</v>
      </c>
      <c r="H56" s="20">
        <v>1.2460657791154099</v>
      </c>
      <c r="I56" s="20">
        <v>5.0161222521059E-2</v>
      </c>
      <c r="J56" s="20" t="s">
        <v>200</v>
      </c>
    </row>
    <row r="57" spans="1:10" hidden="1" x14ac:dyDescent="0.2">
      <c r="A57" s="38" t="s">
        <v>75</v>
      </c>
      <c r="B57" t="s">
        <v>26</v>
      </c>
      <c r="C57" t="s">
        <v>123</v>
      </c>
      <c r="D57">
        <v>3.6478035453317403E-2</v>
      </c>
      <c r="E57">
        <v>0.31581098662849</v>
      </c>
      <c r="F57">
        <v>0.115505910173508</v>
      </c>
      <c r="G57">
        <v>-0.58985857085249704</v>
      </c>
      <c r="H57">
        <v>0.66281464175913196</v>
      </c>
      <c r="I57">
        <v>0.90826902471543203</v>
      </c>
    </row>
    <row r="58" spans="1:10" hidden="1" x14ac:dyDescent="0.2">
      <c r="A58" s="38" t="s">
        <v>75</v>
      </c>
      <c r="B58" t="s">
        <v>26</v>
      </c>
      <c r="C58" t="s">
        <v>116</v>
      </c>
      <c r="D58">
        <v>0.104030946518182</v>
      </c>
      <c r="E58">
        <v>0.44738053014072598</v>
      </c>
      <c r="F58">
        <v>0.23253346873512501</v>
      </c>
      <c r="G58">
        <v>-0.78324281797966</v>
      </c>
      <c r="H58">
        <v>0.99130471101602502</v>
      </c>
      <c r="I58">
        <v>0.81658512126073601</v>
      </c>
    </row>
    <row r="59" spans="1:10" hidden="1" x14ac:dyDescent="0.2">
      <c r="A59" s="38" t="s">
        <v>75</v>
      </c>
      <c r="B59" t="s">
        <v>9</v>
      </c>
      <c r="C59" t="s">
        <v>201</v>
      </c>
      <c r="D59">
        <v>-6.1477568038277003E-2</v>
      </c>
      <c r="E59">
        <v>0.23623445320386</v>
      </c>
      <c r="F59">
        <v>-0.26023963568609798</v>
      </c>
      <c r="G59">
        <v>-0.52999288883765505</v>
      </c>
      <c r="H59">
        <v>0.40703775276110099</v>
      </c>
      <c r="I59">
        <v>0.79519845976493897</v>
      </c>
    </row>
    <row r="60" spans="1:10" hidden="1" x14ac:dyDescent="0.2">
      <c r="A60" s="38" t="s">
        <v>75</v>
      </c>
      <c r="B60" t="s">
        <v>9</v>
      </c>
      <c r="C60" t="s">
        <v>123</v>
      </c>
      <c r="D60">
        <v>-0.14037397417198999</v>
      </c>
      <c r="E60">
        <v>0.237402098594726</v>
      </c>
      <c r="F60">
        <v>-0.59129205260996798</v>
      </c>
      <c r="G60">
        <v>-0.611205044208883</v>
      </c>
      <c r="H60">
        <v>0.33045709586490402</v>
      </c>
      <c r="I60">
        <v>0.55562020163427495</v>
      </c>
    </row>
    <row r="61" spans="1:10" hidden="1" x14ac:dyDescent="0.2">
      <c r="A61" s="38" t="s">
        <v>75</v>
      </c>
      <c r="B61" t="s">
        <v>9</v>
      </c>
      <c r="C61" s="11" t="s">
        <v>116</v>
      </c>
      <c r="D61" s="11">
        <v>-0.70161508159090802</v>
      </c>
      <c r="E61" s="11">
        <v>0.33630583235779099</v>
      </c>
      <c r="F61" s="11">
        <v>-2.0862411950217701</v>
      </c>
      <c r="G61" s="11">
        <v>-1.36859838058431</v>
      </c>
      <c r="H61" s="11">
        <v>-3.4631782597508202E-2</v>
      </c>
      <c r="I61" s="11">
        <v>3.9426789139326797E-2</v>
      </c>
      <c r="J61" s="11" t="s">
        <v>61</v>
      </c>
    </row>
    <row r="62" spans="1:10" hidden="1" x14ac:dyDescent="0.2">
      <c r="A62" s="3" t="s">
        <v>15</v>
      </c>
      <c r="B62" t="s">
        <v>18</v>
      </c>
      <c r="C62" s="11" t="s">
        <v>16</v>
      </c>
      <c r="D62" s="11">
        <v>0.66164510094639195</v>
      </c>
      <c r="E62" s="11">
        <v>0.33183518735711198</v>
      </c>
      <c r="F62" s="11">
        <v>1.99389674800927</v>
      </c>
      <c r="G62" s="11">
        <v>3.6772230720688599E-3</v>
      </c>
      <c r="H62" s="11">
        <v>1.31961297882072</v>
      </c>
      <c r="I62" s="11">
        <v>4.8756209344601897E-2</v>
      </c>
      <c r="J62" s="11" t="s">
        <v>61</v>
      </c>
    </row>
    <row r="63" spans="1:10" hidden="1" x14ac:dyDescent="0.2">
      <c r="A63" s="3" t="s">
        <v>15</v>
      </c>
      <c r="B63" t="s">
        <v>25</v>
      </c>
      <c r="C63" s="20" t="s">
        <v>16</v>
      </c>
      <c r="D63" s="20">
        <v>0.58179861026494994</v>
      </c>
      <c r="E63" s="20">
        <v>0.34876858766150798</v>
      </c>
      <c r="F63" s="20">
        <v>1.66815083366856</v>
      </c>
      <c r="G63" s="20">
        <v>-0.109745072370215</v>
      </c>
      <c r="H63" s="20">
        <v>1.2733422929001199</v>
      </c>
      <c r="I63" s="20">
        <v>9.8265378775105702E-2</v>
      </c>
      <c r="J63" s="20" t="s">
        <v>200</v>
      </c>
    </row>
    <row r="64" spans="1:10" hidden="1" x14ac:dyDescent="0.2">
      <c r="A64" s="3" t="s">
        <v>15</v>
      </c>
      <c r="B64" t="s">
        <v>14</v>
      </c>
      <c r="C64" s="11" t="s">
        <v>16</v>
      </c>
      <c r="D64" s="11">
        <v>0.74002716763402099</v>
      </c>
      <c r="E64" s="11">
        <v>0.32807307079252601</v>
      </c>
      <c r="F64" s="11">
        <v>2.2556778764143499</v>
      </c>
      <c r="G64" s="11">
        <v>8.9518871945755904E-2</v>
      </c>
      <c r="H64" s="11">
        <v>1.3905354633222899</v>
      </c>
      <c r="I64" s="11">
        <v>2.61641713630167E-2</v>
      </c>
      <c r="J64" s="11" t="s">
        <v>61</v>
      </c>
    </row>
    <row r="65" spans="1:10" hidden="1" x14ac:dyDescent="0.2">
      <c r="A65" s="3" t="s">
        <v>15</v>
      </c>
      <c r="B65" t="s">
        <v>7</v>
      </c>
      <c r="C65" s="11" t="s">
        <v>16</v>
      </c>
      <c r="D65" s="11">
        <v>0.69265885017731998</v>
      </c>
      <c r="E65" s="11">
        <v>0.29571282704167401</v>
      </c>
      <c r="F65" s="11">
        <v>2.34233616818964</v>
      </c>
      <c r="G65" s="11">
        <v>0.10631494006197501</v>
      </c>
      <c r="H65" s="11">
        <v>1.2790027602926699</v>
      </c>
      <c r="I65" s="11">
        <v>2.1049332678182701E-2</v>
      </c>
      <c r="J65" s="11" t="s">
        <v>61</v>
      </c>
    </row>
    <row r="66" spans="1:10" hidden="1" x14ac:dyDescent="0.2">
      <c r="A66" s="3" t="s">
        <v>15</v>
      </c>
      <c r="B66" t="s">
        <v>21</v>
      </c>
      <c r="C66" t="s">
        <v>16</v>
      </c>
      <c r="D66">
        <v>0.167083687754639</v>
      </c>
      <c r="E66">
        <v>0.38134878761915397</v>
      </c>
      <c r="F66">
        <v>0.43813876739396501</v>
      </c>
      <c r="G66">
        <v>-0.58906051297984297</v>
      </c>
      <c r="H66">
        <v>0.92322788848911996</v>
      </c>
      <c r="I66">
        <v>0.66218574795816099</v>
      </c>
    </row>
    <row r="67" spans="1:10" hidden="1" x14ac:dyDescent="0.2">
      <c r="A67" s="3" t="s">
        <v>15</v>
      </c>
      <c r="B67" t="s">
        <v>11</v>
      </c>
      <c r="C67" t="s">
        <v>16</v>
      </c>
      <c r="D67">
        <v>0.54474874005876495</v>
      </c>
      <c r="E67">
        <v>0.344110176918975</v>
      </c>
      <c r="F67">
        <v>1.58306489199543</v>
      </c>
      <c r="G67">
        <v>-0.13755817460449499</v>
      </c>
      <c r="H67">
        <v>1.2270556547220299</v>
      </c>
      <c r="I67">
        <v>0.116414179293891</v>
      </c>
    </row>
    <row r="68" spans="1:10" hidden="1" x14ac:dyDescent="0.2">
      <c r="A68" s="3" t="s">
        <v>15</v>
      </c>
      <c r="B68" t="s">
        <v>13</v>
      </c>
      <c r="C68" t="s">
        <v>16</v>
      </c>
      <c r="D68">
        <v>0.37671193729278502</v>
      </c>
      <c r="E68">
        <v>0.33931864458511701</v>
      </c>
      <c r="F68">
        <v>1.1102011142163699</v>
      </c>
      <c r="G68">
        <v>-0.296094253874017</v>
      </c>
      <c r="H68">
        <v>1.04951812845959</v>
      </c>
      <c r="I68">
        <v>0.26944838779397101</v>
      </c>
    </row>
    <row r="69" spans="1:10" hidden="1" x14ac:dyDescent="0.2">
      <c r="A69" s="3" t="s">
        <v>15</v>
      </c>
      <c r="B69" t="s">
        <v>17</v>
      </c>
      <c r="C69" t="s">
        <v>16</v>
      </c>
      <c r="D69">
        <v>0.25539602846804099</v>
      </c>
      <c r="E69">
        <v>0.38691699987726402</v>
      </c>
      <c r="F69">
        <v>0.66007962573124701</v>
      </c>
      <c r="G69">
        <v>-0.51178890857955395</v>
      </c>
      <c r="H69">
        <v>1.0225809655156399</v>
      </c>
      <c r="I69">
        <v>0.51064811943366295</v>
      </c>
    </row>
    <row r="70" spans="1:10" hidden="1" x14ac:dyDescent="0.2">
      <c r="A70" s="3" t="s">
        <v>15</v>
      </c>
      <c r="B70" t="s">
        <v>26</v>
      </c>
      <c r="C70" t="s">
        <v>16</v>
      </c>
      <c r="D70">
        <v>0.15387068628453601</v>
      </c>
      <c r="E70">
        <v>0.39705946867556002</v>
      </c>
      <c r="F70">
        <v>0.38752554320840299</v>
      </c>
      <c r="G70">
        <v>-0.63342489281031</v>
      </c>
      <c r="H70">
        <v>0.94116626537938297</v>
      </c>
      <c r="I70">
        <v>0.69915161026671602</v>
      </c>
    </row>
    <row r="71" spans="1:10" hidden="1" x14ac:dyDescent="0.2">
      <c r="A71" s="3" t="s">
        <v>15</v>
      </c>
      <c r="B71" t="s">
        <v>9</v>
      </c>
      <c r="C71" s="11" t="s">
        <v>16</v>
      </c>
      <c r="D71" s="11">
        <v>0.62398637406701196</v>
      </c>
      <c r="E71" s="11">
        <v>0.29058996317907898</v>
      </c>
      <c r="F71" s="11">
        <v>2.1473087619425901</v>
      </c>
      <c r="G71" s="11">
        <v>4.78001566639931E-2</v>
      </c>
      <c r="H71" s="11">
        <v>1.2001725914700301</v>
      </c>
      <c r="I71" s="11">
        <v>3.4069695375661201E-2</v>
      </c>
      <c r="J71" s="11" t="s">
        <v>61</v>
      </c>
    </row>
    <row r="72" spans="1:10" x14ac:dyDescent="0.2">
      <c r="A72" s="67" t="s">
        <v>225</v>
      </c>
      <c r="B72" s="15" t="s">
        <v>18</v>
      </c>
      <c r="C72" s="11" t="s">
        <v>257</v>
      </c>
      <c r="D72" s="11">
        <v>-0.46018198919680903</v>
      </c>
      <c r="E72" s="11">
        <v>0.19311544789514801</v>
      </c>
      <c r="F72" s="11">
        <v>-2.3829372233683901</v>
      </c>
      <c r="G72" s="11">
        <v>-0.84309424888908102</v>
      </c>
      <c r="H72" s="11">
        <v>-7.7269729504536394E-2</v>
      </c>
      <c r="I72" s="11">
        <v>1.8972902701248798E-2</v>
      </c>
      <c r="J72" s="11" t="s">
        <v>61</v>
      </c>
    </row>
    <row r="73" spans="1:10" x14ac:dyDescent="0.2">
      <c r="A73" s="67" t="s">
        <v>225</v>
      </c>
      <c r="B73" s="12" t="s">
        <v>25</v>
      </c>
      <c r="C73" s="11" t="s">
        <v>257</v>
      </c>
      <c r="D73" s="11">
        <v>-0.43961414637021301</v>
      </c>
      <c r="E73" s="11">
        <v>0.20275313728974301</v>
      </c>
      <c r="F73" s="11">
        <v>-2.1682236450032599</v>
      </c>
      <c r="G73" s="11">
        <v>-0.84163616379817996</v>
      </c>
      <c r="H73" s="11">
        <v>-3.7592128942245902E-2</v>
      </c>
      <c r="I73" s="11">
        <v>3.2399704763349101E-2</v>
      </c>
      <c r="J73" s="11" t="s">
        <v>61</v>
      </c>
    </row>
    <row r="74" spans="1:10" x14ac:dyDescent="0.2">
      <c r="A74" s="67" t="s">
        <v>225</v>
      </c>
      <c r="B74" s="34" t="s">
        <v>14</v>
      </c>
      <c r="C74" s="20" t="s">
        <v>257</v>
      </c>
      <c r="D74" s="20">
        <v>-0.34103115348155999</v>
      </c>
      <c r="E74" s="20">
        <v>0.194187329961618</v>
      </c>
      <c r="F74" s="20">
        <v>-1.75619672791715</v>
      </c>
      <c r="G74" s="20">
        <v>-0.72606875730693399</v>
      </c>
      <c r="H74" s="20">
        <v>4.4006450343813897E-2</v>
      </c>
      <c r="I74" s="20">
        <v>8.19705201867479E-2</v>
      </c>
      <c r="J74" s="20" t="s">
        <v>200</v>
      </c>
    </row>
    <row r="75" spans="1:10" x14ac:dyDescent="0.2">
      <c r="A75" s="67" t="s">
        <v>225</v>
      </c>
      <c r="B75" s="3" t="s">
        <v>7</v>
      </c>
      <c r="C75" s="11" t="s">
        <v>257</v>
      </c>
      <c r="D75" s="11">
        <v>-0.41484907044964497</v>
      </c>
      <c r="E75" s="11">
        <v>0.173238659205766</v>
      </c>
      <c r="F75" s="11">
        <v>-2.3946679820287899</v>
      </c>
      <c r="G75" s="11">
        <v>-0.75834932993461301</v>
      </c>
      <c r="H75" s="11">
        <v>-7.1348810964677697E-2</v>
      </c>
      <c r="I75" s="11">
        <v>1.8407801961030999E-2</v>
      </c>
      <c r="J75" s="11" t="s">
        <v>61</v>
      </c>
    </row>
    <row r="76" spans="1:10" x14ac:dyDescent="0.2">
      <c r="A76" s="67" t="s">
        <v>225</v>
      </c>
      <c r="B76" s="9" t="s">
        <v>21</v>
      </c>
      <c r="C76" t="s">
        <v>257</v>
      </c>
      <c r="D76">
        <v>-0.2679232728</v>
      </c>
      <c r="E76">
        <v>0.22232978774404599</v>
      </c>
      <c r="F76">
        <v>-1.2050714189879199</v>
      </c>
      <c r="G76">
        <v>-0.70876217175850598</v>
      </c>
      <c r="H76">
        <v>0.172915626158505</v>
      </c>
      <c r="I76">
        <v>0.230884694372921</v>
      </c>
    </row>
    <row r="77" spans="1:10" x14ac:dyDescent="0.2">
      <c r="A77" s="67" t="s">
        <v>225</v>
      </c>
      <c r="B77" s="13" t="s">
        <v>11</v>
      </c>
      <c r="C77" s="11" t="s">
        <v>257</v>
      </c>
      <c r="D77" s="11">
        <v>-0.45686558140780098</v>
      </c>
      <c r="E77" s="11">
        <v>0.19928514703200101</v>
      </c>
      <c r="F77" s="11">
        <v>-2.2925219877748302</v>
      </c>
      <c r="G77" s="11">
        <v>-0.85201121478334496</v>
      </c>
      <c r="H77" s="11">
        <v>-6.1719948032257797E-2</v>
      </c>
      <c r="I77" s="11">
        <v>2.3869471609342999E-2</v>
      </c>
      <c r="J77" s="11" t="s">
        <v>61</v>
      </c>
    </row>
    <row r="78" spans="1:10" x14ac:dyDescent="0.2">
      <c r="A78" s="67" t="s">
        <v>225</v>
      </c>
      <c r="B78" s="14" t="s">
        <v>13</v>
      </c>
      <c r="C78" s="20" t="s">
        <v>257</v>
      </c>
      <c r="D78" s="20">
        <v>-0.38212826434219799</v>
      </c>
      <c r="E78" s="20">
        <v>0.19666752895835399</v>
      </c>
      <c r="F78" s="20">
        <v>-1.9430165537042901</v>
      </c>
      <c r="G78" s="20">
        <v>-0.77208364462035195</v>
      </c>
      <c r="H78" s="20">
        <v>7.8271159359551996E-3</v>
      </c>
      <c r="I78" s="20">
        <v>5.4691775358230797E-2</v>
      </c>
      <c r="J78" s="20" t="s">
        <v>200</v>
      </c>
    </row>
    <row r="79" spans="1:10" x14ac:dyDescent="0.2">
      <c r="A79" s="67" t="s">
        <v>225</v>
      </c>
      <c r="B79" s="127" t="s">
        <v>17</v>
      </c>
      <c r="C79" t="s">
        <v>257</v>
      </c>
      <c r="D79">
        <v>-0.325663255307447</v>
      </c>
      <c r="E79">
        <v>0.225161738739656</v>
      </c>
      <c r="F79">
        <v>-1.44635255141637</v>
      </c>
      <c r="G79">
        <v>-0.77211738995468704</v>
      </c>
      <c r="H79">
        <v>0.120790879339793</v>
      </c>
      <c r="I79">
        <v>0.15105689072025</v>
      </c>
    </row>
    <row r="80" spans="1:10" x14ac:dyDescent="0.2">
      <c r="A80" s="67" t="s">
        <v>225</v>
      </c>
      <c r="B80" s="53" t="s">
        <v>26</v>
      </c>
      <c r="C80" t="s">
        <v>257</v>
      </c>
      <c r="D80">
        <v>-0.34359518924716298</v>
      </c>
      <c r="E80">
        <v>0.23061324860191301</v>
      </c>
      <c r="F80">
        <v>-1.48991955722492</v>
      </c>
      <c r="G80">
        <v>-0.80085866091453095</v>
      </c>
      <c r="H80">
        <v>0.11366828242020501</v>
      </c>
      <c r="I80">
        <v>0.139243185848687</v>
      </c>
    </row>
    <row r="81" spans="1:10" x14ac:dyDescent="0.2">
      <c r="A81" s="67" t="s">
        <v>225</v>
      </c>
      <c r="B81" s="5" t="s">
        <v>9</v>
      </c>
      <c r="C81" t="s">
        <v>257</v>
      </c>
      <c r="D81">
        <v>-0.22085118265957501</v>
      </c>
      <c r="E81">
        <v>0.17279125135614801</v>
      </c>
      <c r="F81">
        <v>-1.2781386842576199</v>
      </c>
      <c r="G81">
        <v>-0.56346431502670402</v>
      </c>
      <c r="H81">
        <v>0.121761949707555</v>
      </c>
      <c r="I81">
        <v>0.20401881379379699</v>
      </c>
    </row>
    <row r="82" spans="1:10" hidden="1" x14ac:dyDescent="0.2">
      <c r="A82" s="6" t="s">
        <v>77</v>
      </c>
      <c r="B82" t="s">
        <v>18</v>
      </c>
      <c r="C82" s="11" t="s">
        <v>128</v>
      </c>
      <c r="D82" s="11">
        <v>-0.64429449038921005</v>
      </c>
      <c r="E82" s="11">
        <v>0.308734664537752</v>
      </c>
      <c r="F82" s="11">
        <v>-2.0868874292229802</v>
      </c>
      <c r="G82" s="11">
        <v>-1.2565968808155901</v>
      </c>
      <c r="H82" s="11">
        <v>-3.1992099962824698E-2</v>
      </c>
      <c r="I82" s="11">
        <v>3.9367042144279503E-2</v>
      </c>
      <c r="J82" s="11" t="s">
        <v>61</v>
      </c>
    </row>
    <row r="83" spans="1:10" hidden="1" x14ac:dyDescent="0.2">
      <c r="A83" s="6" t="s">
        <v>77</v>
      </c>
      <c r="B83" t="s">
        <v>18</v>
      </c>
      <c r="C83" t="s">
        <v>203</v>
      </c>
      <c r="D83">
        <v>-0.37379473161111798</v>
      </c>
      <c r="E83">
        <v>0.25926220219561003</v>
      </c>
      <c r="F83">
        <v>-1.44176331314618</v>
      </c>
      <c r="G83">
        <v>-0.88798016132067703</v>
      </c>
      <c r="H83">
        <v>0.14039069809843999</v>
      </c>
      <c r="I83">
        <v>0.15240278821177999</v>
      </c>
    </row>
    <row r="84" spans="1:10" hidden="1" x14ac:dyDescent="0.2">
      <c r="A84" s="6" t="s">
        <v>77</v>
      </c>
      <c r="B84" t="s">
        <v>18</v>
      </c>
      <c r="C84" t="s">
        <v>205</v>
      </c>
      <c r="D84">
        <v>3.7877145384320202E-2</v>
      </c>
      <c r="E84">
        <v>0.19777938691227701</v>
      </c>
      <c r="F84">
        <v>0.19151209828110299</v>
      </c>
      <c r="G84">
        <v>-0.35437162125407501</v>
      </c>
      <c r="H84">
        <v>0.430125912022715</v>
      </c>
      <c r="I84">
        <v>0.848501428289545</v>
      </c>
    </row>
    <row r="85" spans="1:10" hidden="1" x14ac:dyDescent="0.2">
      <c r="A85" s="6" t="s">
        <v>77</v>
      </c>
      <c r="B85" t="s">
        <v>25</v>
      </c>
      <c r="C85" s="20" t="s">
        <v>128</v>
      </c>
      <c r="D85" s="20">
        <v>-0.55914330423496905</v>
      </c>
      <c r="E85" s="20">
        <v>0.32713429075388201</v>
      </c>
      <c r="F85" s="20">
        <v>-1.7092164289669001</v>
      </c>
      <c r="G85" s="20">
        <v>-1.2079370136130401</v>
      </c>
      <c r="H85" s="20">
        <v>8.9650405143100201E-2</v>
      </c>
      <c r="I85" s="20">
        <v>9.0422263507373299E-2</v>
      </c>
      <c r="J85" s="20" t="s">
        <v>200</v>
      </c>
    </row>
    <row r="86" spans="1:10" hidden="1" x14ac:dyDescent="0.2">
      <c r="A86" s="6" t="s">
        <v>77</v>
      </c>
      <c r="B86" t="s">
        <v>25</v>
      </c>
      <c r="C86" t="s">
        <v>203</v>
      </c>
      <c r="D86">
        <v>-0.22768710348451901</v>
      </c>
      <c r="E86">
        <v>0.27471342345549699</v>
      </c>
      <c r="F86">
        <v>-0.82881681069874402</v>
      </c>
      <c r="G86">
        <v>-0.772516386311773</v>
      </c>
      <c r="H86">
        <v>0.31714217934273597</v>
      </c>
      <c r="I86">
        <v>0.40912461008311002</v>
      </c>
    </row>
    <row r="87" spans="1:10" hidden="1" x14ac:dyDescent="0.2">
      <c r="A87" s="6" t="s">
        <v>77</v>
      </c>
      <c r="B87" t="s">
        <v>25</v>
      </c>
      <c r="C87" t="s">
        <v>205</v>
      </c>
      <c r="D87">
        <v>-4.6276799026977698E-2</v>
      </c>
      <c r="E87">
        <v>0.209566423518256</v>
      </c>
      <c r="F87">
        <v>-0.22082162900941199</v>
      </c>
      <c r="G87">
        <v>-0.46190237273914397</v>
      </c>
      <c r="H87">
        <v>0.36934877468518801</v>
      </c>
      <c r="I87">
        <v>0.82566846149821405</v>
      </c>
    </row>
    <row r="88" spans="1:10" hidden="1" x14ac:dyDescent="0.2">
      <c r="A88" s="6" t="s">
        <v>77</v>
      </c>
      <c r="B88" t="s">
        <v>14</v>
      </c>
      <c r="C88" t="s">
        <v>128</v>
      </c>
      <c r="D88">
        <v>-0.47146852550562102</v>
      </c>
      <c r="E88">
        <v>0.312184225881801</v>
      </c>
      <c r="F88">
        <v>-1.5102253298477899</v>
      </c>
      <c r="G88">
        <v>-1.09061230726085</v>
      </c>
      <c r="H88">
        <v>0.147675256249613</v>
      </c>
      <c r="I88">
        <v>0.13404770915339001</v>
      </c>
    </row>
    <row r="89" spans="1:10" hidden="1" x14ac:dyDescent="0.2">
      <c r="A89" s="6" t="s">
        <v>77</v>
      </c>
      <c r="B89" t="s">
        <v>14</v>
      </c>
      <c r="C89" t="s">
        <v>203</v>
      </c>
      <c r="D89">
        <v>-0.19663254507003999</v>
      </c>
      <c r="E89">
        <v>0.26215899667123499</v>
      </c>
      <c r="F89">
        <v>-0.75005072328923605</v>
      </c>
      <c r="G89">
        <v>-0.71656308339788399</v>
      </c>
      <c r="H89">
        <v>0.32329799325780401</v>
      </c>
      <c r="I89">
        <v>0.454934036478985</v>
      </c>
    </row>
    <row r="90" spans="1:10" hidden="1" x14ac:dyDescent="0.2">
      <c r="A90" s="6" t="s">
        <v>77</v>
      </c>
      <c r="B90" t="s">
        <v>14</v>
      </c>
      <c r="C90" t="s">
        <v>205</v>
      </c>
      <c r="D90">
        <v>-9.52947422131174E-2</v>
      </c>
      <c r="E90">
        <v>0.199989220164282</v>
      </c>
      <c r="F90">
        <v>-0.47649939399152103</v>
      </c>
      <c r="G90">
        <v>-0.49192619190614301</v>
      </c>
      <c r="H90">
        <v>0.30133670747990898</v>
      </c>
      <c r="I90">
        <v>0.63472793819528195</v>
      </c>
    </row>
    <row r="91" spans="1:10" hidden="1" x14ac:dyDescent="0.2">
      <c r="A91" s="6" t="s">
        <v>77</v>
      </c>
      <c r="B91" t="s">
        <v>7</v>
      </c>
      <c r="C91" s="11" t="s">
        <v>128</v>
      </c>
      <c r="D91" s="11">
        <v>-0.62120242182956897</v>
      </c>
      <c r="E91" s="11">
        <v>0.27777274735225599</v>
      </c>
      <c r="F91" s="11">
        <v>-2.2363692181861001</v>
      </c>
      <c r="G91" s="11">
        <v>-1.17209915204851</v>
      </c>
      <c r="H91" s="11">
        <v>-7.0305691610624194E-2</v>
      </c>
      <c r="I91" s="11">
        <v>2.7483793059252699E-2</v>
      </c>
      <c r="J91" s="11" t="s">
        <v>61</v>
      </c>
    </row>
    <row r="92" spans="1:10" hidden="1" x14ac:dyDescent="0.2">
      <c r="A92" s="6" t="s">
        <v>77</v>
      </c>
      <c r="B92" t="s">
        <v>7</v>
      </c>
      <c r="C92" t="s">
        <v>203</v>
      </c>
      <c r="D92">
        <v>-0.13349516233757799</v>
      </c>
      <c r="E92">
        <v>0.23326170482441699</v>
      </c>
      <c r="F92">
        <v>-0.57229780789805695</v>
      </c>
      <c r="G92">
        <v>-0.59611473786457303</v>
      </c>
      <c r="H92">
        <v>0.32912441318941799</v>
      </c>
      <c r="I92">
        <v>0.56836727900676898</v>
      </c>
    </row>
    <row r="93" spans="1:10" hidden="1" x14ac:dyDescent="0.2">
      <c r="A93" s="6" t="s">
        <v>77</v>
      </c>
      <c r="B93" t="s">
        <v>7</v>
      </c>
      <c r="C93" t="s">
        <v>205</v>
      </c>
      <c r="D93">
        <v>-6.9811600816248404E-2</v>
      </c>
      <c r="E93">
        <v>0.17794478554755899</v>
      </c>
      <c r="F93">
        <v>-0.392321700247799</v>
      </c>
      <c r="G93">
        <v>-0.42272311374212401</v>
      </c>
      <c r="H93">
        <v>0.28309991210962798</v>
      </c>
      <c r="I93">
        <v>0.69563118185547401</v>
      </c>
    </row>
    <row r="94" spans="1:10" hidden="1" x14ac:dyDescent="0.2">
      <c r="A94" s="6" t="s">
        <v>77</v>
      </c>
      <c r="B94" t="s">
        <v>21</v>
      </c>
      <c r="C94" t="s">
        <v>128</v>
      </c>
      <c r="D94">
        <v>-3.7030105279681598E-2</v>
      </c>
      <c r="E94">
        <v>0.35764735235637701</v>
      </c>
      <c r="F94">
        <v>-0.10353803833778399</v>
      </c>
      <c r="G94">
        <v>-0.74633927568124303</v>
      </c>
      <c r="H94">
        <v>0.67227906512187996</v>
      </c>
      <c r="I94">
        <v>0.91773729137179105</v>
      </c>
    </row>
    <row r="95" spans="1:10" hidden="1" x14ac:dyDescent="0.2">
      <c r="A95" s="6" t="s">
        <v>77</v>
      </c>
      <c r="B95" t="s">
        <v>21</v>
      </c>
      <c r="C95" t="s">
        <v>203</v>
      </c>
      <c r="D95">
        <v>0.13419113179907199</v>
      </c>
      <c r="E95">
        <v>0.300336991054029</v>
      </c>
      <c r="F95">
        <v>0.44680187854359799</v>
      </c>
      <c r="G95">
        <v>-0.46145645390752998</v>
      </c>
      <c r="H95">
        <v>0.72983871750567397</v>
      </c>
      <c r="I95">
        <v>0.65595616825292202</v>
      </c>
    </row>
    <row r="96" spans="1:10" hidden="1" x14ac:dyDescent="0.2">
      <c r="A96" s="6" t="s">
        <v>77</v>
      </c>
      <c r="B96" t="s">
        <v>21</v>
      </c>
      <c r="C96" t="s">
        <v>205</v>
      </c>
      <c r="D96">
        <v>-6.1187598449823397E-2</v>
      </c>
      <c r="E96">
        <v>0.229113482238059</v>
      </c>
      <c r="F96">
        <v>-0.26706240877717902</v>
      </c>
      <c r="G96">
        <v>-0.51558015285675596</v>
      </c>
      <c r="H96">
        <v>0.39320495595710903</v>
      </c>
      <c r="I96">
        <v>0.78995509116643403</v>
      </c>
    </row>
    <row r="97" spans="1:10" hidden="1" x14ac:dyDescent="0.2">
      <c r="A97" s="6" t="s">
        <v>77</v>
      </c>
      <c r="B97" t="s">
        <v>11</v>
      </c>
      <c r="C97" s="11" t="s">
        <v>128</v>
      </c>
      <c r="D97" s="11">
        <v>-0.64358347170643204</v>
      </c>
      <c r="E97" s="11">
        <v>0.318342844935595</v>
      </c>
      <c r="F97" s="11">
        <v>-2.0216677771936</v>
      </c>
      <c r="G97" s="11">
        <v>-1.27494142181237</v>
      </c>
      <c r="H97" s="11">
        <v>-1.2225521600489999E-2</v>
      </c>
      <c r="I97" s="11">
        <v>4.5804037947723301E-2</v>
      </c>
      <c r="J97" s="11" t="s">
        <v>61</v>
      </c>
    </row>
    <row r="98" spans="1:10" hidden="1" x14ac:dyDescent="0.2">
      <c r="A98" s="6" t="s">
        <v>77</v>
      </c>
      <c r="B98" t="s">
        <v>11</v>
      </c>
      <c r="C98" t="s">
        <v>203</v>
      </c>
      <c r="D98">
        <v>-4.7102216556769098E-2</v>
      </c>
      <c r="E98">
        <v>0.26733074225659398</v>
      </c>
      <c r="F98">
        <v>-0.176194537744404</v>
      </c>
      <c r="G98">
        <v>-0.57728969246994599</v>
      </c>
      <c r="H98">
        <v>0.483085259356408</v>
      </c>
      <c r="I98">
        <v>0.86048707210428199</v>
      </c>
    </row>
    <row r="99" spans="1:10" hidden="1" x14ac:dyDescent="0.2">
      <c r="A99" s="6" t="s">
        <v>77</v>
      </c>
      <c r="B99" t="s">
        <v>11</v>
      </c>
      <c r="C99" t="s">
        <v>205</v>
      </c>
      <c r="D99">
        <v>-0.236283754006819</v>
      </c>
      <c r="E99">
        <v>0.203934510540111</v>
      </c>
      <c r="F99">
        <v>-1.15862564595385</v>
      </c>
      <c r="G99">
        <v>-0.64073975664294702</v>
      </c>
      <c r="H99">
        <v>0.16817224862930799</v>
      </c>
      <c r="I99">
        <v>0.24928807403120401</v>
      </c>
    </row>
    <row r="100" spans="1:10" hidden="1" x14ac:dyDescent="0.2">
      <c r="A100" s="6" t="s">
        <v>77</v>
      </c>
      <c r="B100" t="s">
        <v>13</v>
      </c>
      <c r="C100" t="s">
        <v>128</v>
      </c>
      <c r="D100">
        <v>-0.47843738327000901</v>
      </c>
      <c r="E100">
        <v>0.31709151688698101</v>
      </c>
      <c r="F100">
        <v>-1.5088305987086199</v>
      </c>
      <c r="G100">
        <v>-1.10731361932378</v>
      </c>
      <c r="H100">
        <v>0.15043885278376701</v>
      </c>
      <c r="I100">
        <v>0.134403513229891</v>
      </c>
    </row>
    <row r="101" spans="1:10" hidden="1" x14ac:dyDescent="0.2">
      <c r="A101" s="6" t="s">
        <v>77</v>
      </c>
      <c r="B101" t="s">
        <v>13</v>
      </c>
      <c r="C101" t="s">
        <v>203</v>
      </c>
      <c r="D101">
        <v>-0.18898475347235799</v>
      </c>
      <c r="E101">
        <v>0.26627993033678998</v>
      </c>
      <c r="F101">
        <v>-0.70972210798361901</v>
      </c>
      <c r="G101">
        <v>-0.71708819178208805</v>
      </c>
      <c r="H101">
        <v>0.33911868483737201</v>
      </c>
      <c r="I101">
        <v>0.47948010747456499</v>
      </c>
    </row>
    <row r="102" spans="1:10" hidden="1" x14ac:dyDescent="0.2">
      <c r="A102" s="6" t="s">
        <v>77</v>
      </c>
      <c r="B102" t="s">
        <v>13</v>
      </c>
      <c r="C102" t="s">
        <v>205</v>
      </c>
      <c r="D102">
        <v>-5.7447694931047899E-2</v>
      </c>
      <c r="E102">
        <v>0.203132893738669</v>
      </c>
      <c r="F102">
        <v>-0.28280843084406798</v>
      </c>
      <c r="G102">
        <v>-0.46031387970702697</v>
      </c>
      <c r="H102">
        <v>0.34541848984493201</v>
      </c>
      <c r="I102">
        <v>0.77789125816417903</v>
      </c>
    </row>
    <row r="103" spans="1:10" hidden="1" x14ac:dyDescent="0.2">
      <c r="A103" s="6" t="s">
        <v>77</v>
      </c>
      <c r="B103" t="s">
        <v>17</v>
      </c>
      <c r="C103" t="s">
        <v>128</v>
      </c>
      <c r="D103">
        <v>-0.222130225967518</v>
      </c>
      <c r="E103">
        <v>0.36218707349812301</v>
      </c>
      <c r="F103">
        <v>-0.61330246776095898</v>
      </c>
      <c r="G103">
        <v>-0.940442862536774</v>
      </c>
      <c r="H103">
        <v>0.49618241060173701</v>
      </c>
      <c r="I103">
        <v>0.54102833515918403</v>
      </c>
    </row>
    <row r="104" spans="1:10" hidden="1" x14ac:dyDescent="0.2">
      <c r="A104" s="6" t="s">
        <v>77</v>
      </c>
      <c r="B104" t="s">
        <v>17</v>
      </c>
      <c r="C104" t="s">
        <v>203</v>
      </c>
      <c r="D104">
        <v>0.124686115716069</v>
      </c>
      <c r="E104">
        <v>0.304149255226973</v>
      </c>
      <c r="F104">
        <v>0.40995042260754899</v>
      </c>
      <c r="G104">
        <v>-0.47852219683513703</v>
      </c>
      <c r="H104">
        <v>0.72789442826727402</v>
      </c>
      <c r="I104">
        <v>0.68269371730088202</v>
      </c>
    </row>
    <row r="105" spans="1:10" hidden="1" x14ac:dyDescent="0.2">
      <c r="A105" s="6" t="s">
        <v>77</v>
      </c>
      <c r="B105" t="s">
        <v>17</v>
      </c>
      <c r="C105" t="s">
        <v>205</v>
      </c>
      <c r="D105">
        <v>-6.3252249396929902E-2</v>
      </c>
      <c r="E105">
        <v>0.232021685842314</v>
      </c>
      <c r="F105">
        <v>-0.27261352389240601</v>
      </c>
      <c r="G105">
        <v>-0.52341253973788204</v>
      </c>
      <c r="H105">
        <v>0.39690804094402299</v>
      </c>
      <c r="I105">
        <v>0.78569609966382503</v>
      </c>
    </row>
    <row r="106" spans="1:10" hidden="1" x14ac:dyDescent="0.2">
      <c r="A106" s="6" t="s">
        <v>77</v>
      </c>
      <c r="B106" t="s">
        <v>26</v>
      </c>
      <c r="C106" t="s">
        <v>128</v>
      </c>
      <c r="D106">
        <v>-0.24756188955318301</v>
      </c>
      <c r="E106">
        <v>0.37199123777836102</v>
      </c>
      <c r="F106">
        <v>-0.66550462594682003</v>
      </c>
      <c r="G106">
        <v>-0.98531877360890396</v>
      </c>
      <c r="H106">
        <v>0.49019499450253901</v>
      </c>
      <c r="I106">
        <v>0.50721536484794305</v>
      </c>
    </row>
    <row r="107" spans="1:10" hidden="1" x14ac:dyDescent="0.2">
      <c r="A107" s="6" t="s">
        <v>77</v>
      </c>
      <c r="B107" t="s">
        <v>26</v>
      </c>
      <c r="C107" t="s">
        <v>203</v>
      </c>
      <c r="D107">
        <v>2.8902221636638602E-2</v>
      </c>
      <c r="E107">
        <v>0.31238237419269599</v>
      </c>
      <c r="F107">
        <v>9.2521934732495204E-2</v>
      </c>
      <c r="G107">
        <v>-0.59063454055894105</v>
      </c>
      <c r="H107">
        <v>0.64843898383221799</v>
      </c>
      <c r="I107">
        <v>0.92646308348086104</v>
      </c>
    </row>
    <row r="108" spans="1:10" hidden="1" x14ac:dyDescent="0.2">
      <c r="A108" s="6" t="s">
        <v>77</v>
      </c>
      <c r="B108" t="s">
        <v>26</v>
      </c>
      <c r="C108" t="s">
        <v>205</v>
      </c>
      <c r="D108">
        <v>3.4103473384047803E-2</v>
      </c>
      <c r="E108">
        <v>0.23830235925952201</v>
      </c>
      <c r="F108">
        <v>0.14311009546870501</v>
      </c>
      <c r="G108">
        <v>-0.43851305135028501</v>
      </c>
      <c r="H108">
        <v>0.50671999811837998</v>
      </c>
      <c r="I108">
        <v>0.886482826931423</v>
      </c>
    </row>
    <row r="109" spans="1:10" hidden="1" x14ac:dyDescent="0.2">
      <c r="A109" s="6" t="s">
        <v>77</v>
      </c>
      <c r="B109" t="s">
        <v>9</v>
      </c>
      <c r="C109" s="11" t="s">
        <v>128</v>
      </c>
      <c r="D109" s="11">
        <v>-0.66165861041569196</v>
      </c>
      <c r="E109" s="11">
        <v>0.269801187031872</v>
      </c>
      <c r="F109" s="11">
        <v>-2.4523932518411402</v>
      </c>
      <c r="G109" s="11">
        <v>-1.19674563087332</v>
      </c>
      <c r="H109" s="11">
        <v>-0.126571589958063</v>
      </c>
      <c r="I109" s="11">
        <v>1.58717860383948E-2</v>
      </c>
      <c r="J109" s="11" t="s">
        <v>61</v>
      </c>
    </row>
    <row r="110" spans="1:10" hidden="1" x14ac:dyDescent="0.2">
      <c r="A110" s="6" t="s">
        <v>77</v>
      </c>
      <c r="B110" t="s">
        <v>9</v>
      </c>
      <c r="C110" t="s">
        <v>203</v>
      </c>
      <c r="D110">
        <v>-0.13133532472576701</v>
      </c>
      <c r="E110">
        <v>0.22656752849442099</v>
      </c>
      <c r="F110">
        <v>-0.57967408480161098</v>
      </c>
      <c r="G110">
        <v>-0.58067858035869102</v>
      </c>
      <c r="H110">
        <v>0.31800793090715801</v>
      </c>
      <c r="I110">
        <v>0.56340022059674899</v>
      </c>
    </row>
    <row r="111" spans="1:10" hidden="1" x14ac:dyDescent="0.2">
      <c r="A111" s="6" t="s">
        <v>77</v>
      </c>
      <c r="B111" t="s">
        <v>9</v>
      </c>
      <c r="C111" t="s">
        <v>205</v>
      </c>
      <c r="D111">
        <v>7.5038735431172798E-3</v>
      </c>
      <c r="E111">
        <v>0.17283810173782199</v>
      </c>
      <c r="F111">
        <v>4.3415621137172199E-2</v>
      </c>
      <c r="G111">
        <v>-0.335279736484211</v>
      </c>
      <c r="H111">
        <v>0.35028748357044598</v>
      </c>
      <c r="I111">
        <v>0.96545428046426696</v>
      </c>
    </row>
    <row r="112" spans="1:10" hidden="1" x14ac:dyDescent="0.2">
      <c r="A112" s="40" t="s">
        <v>78</v>
      </c>
      <c r="B112" t="s">
        <v>18</v>
      </c>
      <c r="C112" t="s">
        <v>81</v>
      </c>
      <c r="D112">
        <v>0.11953582475254</v>
      </c>
      <c r="E112">
        <v>0.239176496590191</v>
      </c>
      <c r="F112">
        <v>0.49978081649617301</v>
      </c>
      <c r="G112">
        <v>-0.35481434520731697</v>
      </c>
      <c r="H112">
        <v>0.593885994712396</v>
      </c>
      <c r="I112">
        <v>0.61829542488348199</v>
      </c>
    </row>
    <row r="113" spans="1:10" hidden="1" x14ac:dyDescent="0.2">
      <c r="A113" s="40" t="s">
        <v>78</v>
      </c>
      <c r="B113" t="s">
        <v>18</v>
      </c>
      <c r="C113" t="s">
        <v>80</v>
      </c>
      <c r="D113">
        <v>-0.219418953979023</v>
      </c>
      <c r="E113">
        <v>0.28936910934667598</v>
      </c>
      <c r="F113">
        <v>-0.75826668048437096</v>
      </c>
      <c r="G113">
        <v>-0.79331433315131406</v>
      </c>
      <c r="H113">
        <v>0.354476425193269</v>
      </c>
      <c r="I113">
        <v>0.45002287813214398</v>
      </c>
    </row>
    <row r="114" spans="1:10" hidden="1" x14ac:dyDescent="0.2">
      <c r="A114" s="40" t="s">
        <v>78</v>
      </c>
      <c r="B114" t="s">
        <v>18</v>
      </c>
      <c r="C114" s="20" t="s">
        <v>79</v>
      </c>
      <c r="D114" s="20">
        <v>-0.84747259244871498</v>
      </c>
      <c r="E114" s="20">
        <v>0.45242047696190402</v>
      </c>
      <c r="F114" s="20">
        <v>-1.87319680607665</v>
      </c>
      <c r="G114" s="20">
        <v>-1.74474190276856</v>
      </c>
      <c r="H114" s="20">
        <v>4.9796717871134398E-2</v>
      </c>
      <c r="I114" s="20">
        <v>6.3876511074067804E-2</v>
      </c>
      <c r="J114" s="20" t="s">
        <v>200</v>
      </c>
    </row>
    <row r="115" spans="1:10" hidden="1" x14ac:dyDescent="0.2">
      <c r="A115" s="40" t="s">
        <v>78</v>
      </c>
      <c r="B115" t="s">
        <v>25</v>
      </c>
      <c r="C115" t="s">
        <v>81</v>
      </c>
      <c r="D115">
        <v>-6.3760611364296296E-2</v>
      </c>
      <c r="E115">
        <v>0.253430672238176</v>
      </c>
      <c r="F115">
        <v>-0.25158995476432899</v>
      </c>
      <c r="G115">
        <v>-0.56638057680010501</v>
      </c>
      <c r="H115">
        <v>0.438859354071512</v>
      </c>
      <c r="I115">
        <v>0.80185931168236702</v>
      </c>
    </row>
    <row r="116" spans="1:10" hidden="1" x14ac:dyDescent="0.2">
      <c r="A116" s="40" t="s">
        <v>78</v>
      </c>
      <c r="B116" t="s">
        <v>25</v>
      </c>
      <c r="C116" t="s">
        <v>80</v>
      </c>
      <c r="D116">
        <v>-0.25173025780769398</v>
      </c>
      <c r="E116">
        <v>0.30661460867680401</v>
      </c>
      <c r="F116">
        <v>-0.82099890443588697</v>
      </c>
      <c r="G116">
        <v>-0.85982801746014403</v>
      </c>
      <c r="H116">
        <v>0.35636750184475502</v>
      </c>
      <c r="I116">
        <v>0.41354305399290697</v>
      </c>
    </row>
    <row r="117" spans="1:10" hidden="1" x14ac:dyDescent="0.2">
      <c r="A117" s="40" t="s">
        <v>78</v>
      </c>
      <c r="B117" t="s">
        <v>25</v>
      </c>
      <c r="C117" t="s">
        <v>79</v>
      </c>
      <c r="D117">
        <v>-0.77086507614102295</v>
      </c>
      <c r="E117">
        <v>0.47938333090992302</v>
      </c>
      <c r="F117">
        <v>-1.6080347947806899</v>
      </c>
      <c r="G117">
        <v>-1.72160884793674</v>
      </c>
      <c r="H117">
        <v>0.179878695654696</v>
      </c>
      <c r="I117">
        <v>0.110888682882071</v>
      </c>
    </row>
    <row r="118" spans="1:10" hidden="1" x14ac:dyDescent="0.2">
      <c r="A118" s="40" t="s">
        <v>78</v>
      </c>
      <c r="B118" t="s">
        <v>14</v>
      </c>
      <c r="C118" t="s">
        <v>81</v>
      </c>
      <c r="D118">
        <v>-9.9448797981132306E-2</v>
      </c>
      <c r="E118">
        <v>0.24184886899216201</v>
      </c>
      <c r="F118">
        <v>-0.41120224541697198</v>
      </c>
      <c r="G118">
        <v>-0.579098988307301</v>
      </c>
      <c r="H118">
        <v>0.38020139234503603</v>
      </c>
      <c r="I118">
        <v>0.68177855424673095</v>
      </c>
    </row>
    <row r="119" spans="1:10" hidden="1" x14ac:dyDescent="0.2">
      <c r="A119" s="40" t="s">
        <v>78</v>
      </c>
      <c r="B119" t="s">
        <v>14</v>
      </c>
      <c r="C119" t="s">
        <v>80</v>
      </c>
      <c r="D119">
        <v>-0.18244461954545599</v>
      </c>
      <c r="E119">
        <v>0.29260229501845197</v>
      </c>
      <c r="F119">
        <v>-0.62352422606237901</v>
      </c>
      <c r="G119">
        <v>-0.76275225993397699</v>
      </c>
      <c r="H119">
        <v>0.39786302084306502</v>
      </c>
      <c r="I119">
        <v>0.53431845565870395</v>
      </c>
    </row>
    <row r="120" spans="1:10" hidden="1" x14ac:dyDescent="0.2">
      <c r="A120" s="40" t="s">
        <v>78</v>
      </c>
      <c r="B120" t="s">
        <v>14</v>
      </c>
      <c r="C120" t="s">
        <v>79</v>
      </c>
      <c r="D120">
        <v>-0.67515850766666496</v>
      </c>
      <c r="E120">
        <v>0.45747547197168198</v>
      </c>
      <c r="F120">
        <v>-1.4758354251361001</v>
      </c>
      <c r="G120">
        <v>-1.58245320834142</v>
      </c>
      <c r="H120">
        <v>0.23213619300808699</v>
      </c>
      <c r="I120">
        <v>0.143038666334286</v>
      </c>
    </row>
    <row r="121" spans="1:10" hidden="1" x14ac:dyDescent="0.2">
      <c r="A121" s="40" t="s">
        <v>78</v>
      </c>
      <c r="B121" t="s">
        <v>7</v>
      </c>
      <c r="C121" t="s">
        <v>81</v>
      </c>
      <c r="D121">
        <v>-0.20675640027939099</v>
      </c>
      <c r="E121">
        <v>0.21519032422036599</v>
      </c>
      <c r="F121">
        <v>-0.960807141438486</v>
      </c>
      <c r="G121">
        <v>-0.63353565460781702</v>
      </c>
      <c r="H121">
        <v>0.22002285404903599</v>
      </c>
      <c r="I121">
        <v>0.33889926095755801</v>
      </c>
    </row>
    <row r="122" spans="1:10" hidden="1" x14ac:dyDescent="0.2">
      <c r="A122" s="40" t="s">
        <v>78</v>
      </c>
      <c r="B122" t="s">
        <v>7</v>
      </c>
      <c r="C122" t="s">
        <v>80</v>
      </c>
      <c r="D122">
        <v>-0.39090447785314902</v>
      </c>
      <c r="E122">
        <v>0.26034929580209998</v>
      </c>
      <c r="F122">
        <v>-1.5014616292655101</v>
      </c>
      <c r="G122">
        <v>-0.90724590133447303</v>
      </c>
      <c r="H122">
        <v>0.12543694562817501</v>
      </c>
      <c r="I122">
        <v>0.13629569214058801</v>
      </c>
    </row>
    <row r="123" spans="1:10" hidden="1" x14ac:dyDescent="0.2">
      <c r="A123" s="40" t="s">
        <v>78</v>
      </c>
      <c r="B123" t="s">
        <v>7</v>
      </c>
      <c r="C123" s="11" t="s">
        <v>79</v>
      </c>
      <c r="D123" s="11">
        <v>-0.86465120280769003</v>
      </c>
      <c r="E123" s="11">
        <v>0.407048813363033</v>
      </c>
      <c r="F123" s="11">
        <v>-2.1241953653271999</v>
      </c>
      <c r="G123" s="11">
        <v>-1.6719365195231799</v>
      </c>
      <c r="H123" s="11">
        <v>-5.7365886092204603E-2</v>
      </c>
      <c r="I123" s="11">
        <v>3.6047482030796198E-2</v>
      </c>
      <c r="J123" s="11" t="s">
        <v>61</v>
      </c>
    </row>
    <row r="124" spans="1:10" hidden="1" x14ac:dyDescent="0.2">
      <c r="A124" s="40" t="s">
        <v>78</v>
      </c>
      <c r="B124" t="s">
        <v>21</v>
      </c>
      <c r="C124" t="s">
        <v>81</v>
      </c>
      <c r="D124">
        <v>-0.20547935012844801</v>
      </c>
      <c r="E124">
        <v>0.27706911654844602</v>
      </c>
      <c r="F124">
        <v>-0.74161766092223003</v>
      </c>
      <c r="G124">
        <v>-0.75498059460303901</v>
      </c>
      <c r="H124">
        <v>0.344021894346144</v>
      </c>
      <c r="I124">
        <v>0.46000667534828399</v>
      </c>
    </row>
    <row r="125" spans="1:10" hidden="1" x14ac:dyDescent="0.2">
      <c r="A125" s="40" t="s">
        <v>78</v>
      </c>
      <c r="B125" t="s">
        <v>21</v>
      </c>
      <c r="C125" t="s">
        <v>80</v>
      </c>
      <c r="D125">
        <v>-0.13994793894405799</v>
      </c>
      <c r="E125">
        <v>0.33521372135686001</v>
      </c>
      <c r="F125">
        <v>-0.41748869460827598</v>
      </c>
      <c r="G125">
        <v>-0.80476529334719804</v>
      </c>
      <c r="H125">
        <v>0.52486941545908306</v>
      </c>
      <c r="I125">
        <v>0.67718995780583102</v>
      </c>
    </row>
    <row r="126" spans="1:10" hidden="1" x14ac:dyDescent="0.2">
      <c r="A126" s="40" t="s">
        <v>78</v>
      </c>
      <c r="B126" t="s">
        <v>21</v>
      </c>
      <c r="C126" t="s">
        <v>79</v>
      </c>
      <c r="D126">
        <v>-7.7045025474358805E-2</v>
      </c>
      <c r="E126">
        <v>0.52409724052042295</v>
      </c>
      <c r="F126">
        <v>-0.147005211089938</v>
      </c>
      <c r="G126">
        <v>-1.11646829097322</v>
      </c>
      <c r="H126">
        <v>0.962378240024506</v>
      </c>
      <c r="I126">
        <v>0.883415267354697</v>
      </c>
    </row>
    <row r="127" spans="1:10" hidden="1" x14ac:dyDescent="0.2">
      <c r="A127" s="40" t="s">
        <v>78</v>
      </c>
      <c r="B127" t="s">
        <v>11</v>
      </c>
      <c r="C127" s="20" t="s">
        <v>81</v>
      </c>
      <c r="D127" s="20">
        <v>-0.45205567620464499</v>
      </c>
      <c r="E127" s="20">
        <v>0.24661994622550601</v>
      </c>
      <c r="F127" s="20">
        <v>-1.83300533117176</v>
      </c>
      <c r="G127" s="20">
        <v>-0.94116817293964805</v>
      </c>
      <c r="H127" s="20">
        <v>3.7056820530358699E-2</v>
      </c>
      <c r="I127" s="20">
        <v>6.9690152181743306E-2</v>
      </c>
      <c r="J127" s="20" t="s">
        <v>200</v>
      </c>
    </row>
    <row r="128" spans="1:10" hidden="1" x14ac:dyDescent="0.2">
      <c r="A128" s="40" t="s">
        <v>78</v>
      </c>
      <c r="B128" t="s">
        <v>11</v>
      </c>
      <c r="C128" t="s">
        <v>80</v>
      </c>
      <c r="D128">
        <v>-0.42286703302797501</v>
      </c>
      <c r="E128">
        <v>0.29837461123396303</v>
      </c>
      <c r="F128">
        <v>-1.4172353045695101</v>
      </c>
      <c r="G128">
        <v>-1.0146227011990101</v>
      </c>
      <c r="H128">
        <v>0.16888863514306399</v>
      </c>
      <c r="I128">
        <v>0.15943196795830999</v>
      </c>
    </row>
    <row r="129" spans="1:10" hidden="1" x14ac:dyDescent="0.2">
      <c r="A129" s="40" t="s">
        <v>78</v>
      </c>
      <c r="B129" t="s">
        <v>11</v>
      </c>
      <c r="C129" s="11" t="s">
        <v>79</v>
      </c>
      <c r="D129" s="11">
        <v>-0.96912714234615105</v>
      </c>
      <c r="E129" s="11">
        <v>0.46650032628765498</v>
      </c>
      <c r="F129" s="11">
        <v>-2.0774415101878501</v>
      </c>
      <c r="G129" s="11">
        <v>-1.89432051299758</v>
      </c>
      <c r="H129" s="11">
        <v>-4.3933771694726301E-2</v>
      </c>
      <c r="I129" s="11">
        <v>4.0248160444846998E-2</v>
      </c>
      <c r="J129" s="11" t="s">
        <v>61</v>
      </c>
    </row>
    <row r="130" spans="1:10" hidden="1" x14ac:dyDescent="0.2">
      <c r="A130" s="40" t="s">
        <v>78</v>
      </c>
      <c r="B130" t="s">
        <v>13</v>
      </c>
      <c r="C130" t="s">
        <v>81</v>
      </c>
      <c r="D130">
        <v>-7.6361729328011496E-2</v>
      </c>
      <c r="E130">
        <v>0.24565054339152001</v>
      </c>
      <c r="F130">
        <v>-0.31085512074893201</v>
      </c>
      <c r="G130">
        <v>-0.56355164418052905</v>
      </c>
      <c r="H130">
        <v>0.41082818552450601</v>
      </c>
      <c r="I130">
        <v>0.75653897233210898</v>
      </c>
    </row>
    <row r="131" spans="1:10" hidden="1" x14ac:dyDescent="0.2">
      <c r="A131" s="40" t="s">
        <v>78</v>
      </c>
      <c r="B131" t="s">
        <v>13</v>
      </c>
      <c r="C131" t="s">
        <v>80</v>
      </c>
      <c r="D131">
        <v>-0.21325126111188999</v>
      </c>
      <c r="E131">
        <v>0.29720177343983301</v>
      </c>
      <c r="F131">
        <v>-0.71753024433099799</v>
      </c>
      <c r="G131">
        <v>-0.802680882138195</v>
      </c>
      <c r="H131">
        <v>0.37617835991441601</v>
      </c>
      <c r="I131">
        <v>0.474671166951803</v>
      </c>
    </row>
    <row r="132" spans="1:10" hidden="1" x14ac:dyDescent="0.2">
      <c r="A132" s="40" t="s">
        <v>78</v>
      </c>
      <c r="B132" t="s">
        <v>13</v>
      </c>
      <c r="C132" t="s">
        <v>79</v>
      </c>
      <c r="D132">
        <v>-0.66758249738461395</v>
      </c>
      <c r="E132">
        <v>0.46466662732988701</v>
      </c>
      <c r="F132">
        <v>-1.4366912924664801</v>
      </c>
      <c r="G132">
        <v>-1.5891391586407899</v>
      </c>
      <c r="H132">
        <v>0.25397416387156102</v>
      </c>
      <c r="I132">
        <v>0.153836340393533</v>
      </c>
    </row>
    <row r="133" spans="1:10" hidden="1" x14ac:dyDescent="0.2">
      <c r="A133" s="40" t="s">
        <v>78</v>
      </c>
      <c r="B133" t="s">
        <v>17</v>
      </c>
      <c r="C133" t="s">
        <v>81</v>
      </c>
      <c r="D133">
        <v>-0.28060030449274298</v>
      </c>
      <c r="E133">
        <v>0.28058603486989497</v>
      </c>
      <c r="F133">
        <v>-1.0000508564970301</v>
      </c>
      <c r="G133">
        <v>-0.83707652697436097</v>
      </c>
      <c r="H133">
        <v>0.27587591798887401</v>
      </c>
      <c r="I133">
        <v>0.31962953502699398</v>
      </c>
    </row>
    <row r="134" spans="1:10" hidden="1" x14ac:dyDescent="0.2">
      <c r="A134" s="40" t="s">
        <v>78</v>
      </c>
      <c r="B134" t="s">
        <v>17</v>
      </c>
      <c r="C134" t="s">
        <v>80</v>
      </c>
      <c r="D134">
        <v>-0.29507816388811398</v>
      </c>
      <c r="E134">
        <v>0.33946868594088497</v>
      </c>
      <c r="F134">
        <v>-0.86923529653482801</v>
      </c>
      <c r="G134">
        <v>-0.968334236988033</v>
      </c>
      <c r="H134">
        <v>0.378177909211805</v>
      </c>
      <c r="I134">
        <v>0.38673949008582298</v>
      </c>
    </row>
    <row r="135" spans="1:10" hidden="1" x14ac:dyDescent="0.2">
      <c r="A135" s="40" t="s">
        <v>78</v>
      </c>
      <c r="B135" t="s">
        <v>17</v>
      </c>
      <c r="C135" t="s">
        <v>79</v>
      </c>
      <c r="D135">
        <v>-0.32630623694871702</v>
      </c>
      <c r="E135">
        <v>0.53074975816789105</v>
      </c>
      <c r="F135">
        <v>-0.61480242228484805</v>
      </c>
      <c r="G135">
        <v>-1.37892320217028</v>
      </c>
      <c r="H135">
        <v>0.72631072827284404</v>
      </c>
      <c r="I135">
        <v>0.54004105040199801</v>
      </c>
    </row>
    <row r="136" spans="1:10" hidden="1" x14ac:dyDescent="0.2">
      <c r="A136" s="40" t="s">
        <v>78</v>
      </c>
      <c r="B136" t="s">
        <v>26</v>
      </c>
      <c r="C136" t="s">
        <v>81</v>
      </c>
      <c r="D136">
        <v>-0.10911219047024701</v>
      </c>
      <c r="E136">
        <v>0.288181313061455</v>
      </c>
      <c r="F136">
        <v>-0.378623406601589</v>
      </c>
      <c r="G136">
        <v>-0.68065185585876498</v>
      </c>
      <c r="H136">
        <v>0.46242747491827102</v>
      </c>
      <c r="I136">
        <v>0.70574683764494395</v>
      </c>
    </row>
    <row r="137" spans="1:10" hidden="1" x14ac:dyDescent="0.2">
      <c r="A137" s="40" t="s">
        <v>78</v>
      </c>
      <c r="B137" t="s">
        <v>26</v>
      </c>
      <c r="C137" t="s">
        <v>80</v>
      </c>
      <c r="D137">
        <v>-0.26557984405944202</v>
      </c>
      <c r="E137">
        <v>0.34865787851149899</v>
      </c>
      <c r="F137">
        <v>-0.76172047278341704</v>
      </c>
      <c r="G137">
        <v>-0.95706051330407704</v>
      </c>
      <c r="H137">
        <v>0.42590082518519301</v>
      </c>
      <c r="I137">
        <v>0.447967479647435</v>
      </c>
    </row>
    <row r="138" spans="1:10" hidden="1" x14ac:dyDescent="0.2">
      <c r="A138" s="40" t="s">
        <v>78</v>
      </c>
      <c r="B138" t="s">
        <v>26</v>
      </c>
      <c r="C138" t="s">
        <v>79</v>
      </c>
      <c r="D138">
        <v>-0.31688759125640897</v>
      </c>
      <c r="E138">
        <v>0.545116802718976</v>
      </c>
      <c r="F138">
        <v>-0.58132053474743794</v>
      </c>
      <c r="G138">
        <v>-1.3979982008025</v>
      </c>
      <c r="H138">
        <v>0.76422301828968298</v>
      </c>
      <c r="I138">
        <v>0.56229443485595099</v>
      </c>
    </row>
    <row r="139" spans="1:10" hidden="1" x14ac:dyDescent="0.2">
      <c r="A139" s="40" t="s">
        <v>78</v>
      </c>
      <c r="B139" t="s">
        <v>9</v>
      </c>
      <c r="C139" t="s">
        <v>81</v>
      </c>
      <c r="D139">
        <v>-0.15785573289695201</v>
      </c>
      <c r="E139">
        <v>0.20901476284425199</v>
      </c>
      <c r="F139">
        <v>-0.75523724137408699</v>
      </c>
      <c r="G139">
        <v>-0.57238721777428503</v>
      </c>
      <c r="H139">
        <v>0.25667575198038101</v>
      </c>
      <c r="I139">
        <v>0.45183019412389003</v>
      </c>
    </row>
    <row r="140" spans="1:10" hidden="1" x14ac:dyDescent="0.2">
      <c r="A140" s="40" t="s">
        <v>78</v>
      </c>
      <c r="B140" t="s">
        <v>9</v>
      </c>
      <c r="C140" s="20" t="s">
        <v>80</v>
      </c>
      <c r="D140" s="20">
        <v>-0.46382596185664499</v>
      </c>
      <c r="E140" s="20">
        <v>0.25287775607893198</v>
      </c>
      <c r="F140" s="20">
        <v>-1.83419043670994</v>
      </c>
      <c r="G140" s="20">
        <v>-0.96534934849875997</v>
      </c>
      <c r="H140" s="20">
        <v>3.7697424785469003E-2</v>
      </c>
      <c r="I140" s="20">
        <v>6.9512625452841301E-2</v>
      </c>
      <c r="J140" s="20" t="s">
        <v>200</v>
      </c>
    </row>
    <row r="141" spans="1:10" hidden="1" x14ac:dyDescent="0.2">
      <c r="A141" s="40" t="s">
        <v>78</v>
      </c>
      <c r="B141" t="s">
        <v>9</v>
      </c>
      <c r="C141" s="11" t="s">
        <v>79</v>
      </c>
      <c r="D141" s="11">
        <v>-0.88435234420512598</v>
      </c>
      <c r="E141" s="11">
        <v>0.39536727080713502</v>
      </c>
      <c r="F141" s="11">
        <v>-2.2367869307940902</v>
      </c>
      <c r="G141" s="11">
        <v>-1.66847007641385</v>
      </c>
      <c r="H141" s="11">
        <v>-0.10023461199639799</v>
      </c>
      <c r="I141" s="11">
        <v>2.7455558117480201E-2</v>
      </c>
      <c r="J141" s="11" t="s">
        <v>61</v>
      </c>
    </row>
    <row r="142" spans="1:10" hidden="1" x14ac:dyDescent="0.2">
      <c r="A142" s="2" t="s">
        <v>23</v>
      </c>
      <c r="B142" t="s">
        <v>18</v>
      </c>
      <c r="C142" s="11" t="s">
        <v>24</v>
      </c>
      <c r="D142" s="11">
        <v>0.86240508476897604</v>
      </c>
      <c r="E142" s="11">
        <v>0.41934039248590399</v>
      </c>
      <c r="F142" s="11">
        <v>2.0565752792296599</v>
      </c>
      <c r="G142" s="11">
        <v>3.0930549628714599E-2</v>
      </c>
      <c r="H142" s="11">
        <v>1.6938796199092401</v>
      </c>
      <c r="I142" s="11">
        <v>4.2206474976332599E-2</v>
      </c>
      <c r="J142" s="11" t="s">
        <v>61</v>
      </c>
    </row>
    <row r="143" spans="1:10" hidden="1" x14ac:dyDescent="0.2">
      <c r="A143" s="2" t="s">
        <v>23</v>
      </c>
      <c r="B143" t="s">
        <v>25</v>
      </c>
      <c r="C143" t="s">
        <v>24</v>
      </c>
      <c r="D143">
        <v>0.68257420412046099</v>
      </c>
      <c r="E143">
        <v>0.44207056537068201</v>
      </c>
      <c r="F143">
        <v>1.5440390236072701</v>
      </c>
      <c r="G143">
        <v>-0.19397006499173899</v>
      </c>
      <c r="H143">
        <v>1.55911847323266</v>
      </c>
      <c r="I143">
        <v>0.12558751622054801</v>
      </c>
    </row>
    <row r="144" spans="1:10" hidden="1" x14ac:dyDescent="0.2">
      <c r="A144" s="2" t="s">
        <v>23</v>
      </c>
      <c r="B144" t="s">
        <v>14</v>
      </c>
      <c r="C144" t="s">
        <v>24</v>
      </c>
      <c r="D144">
        <v>0.58323209258745801</v>
      </c>
      <c r="E144">
        <v>0.42117807184477501</v>
      </c>
      <c r="F144">
        <v>1.3847636702283199</v>
      </c>
      <c r="G144">
        <v>-0.25188622125390903</v>
      </c>
      <c r="H144">
        <v>1.4183504064288299</v>
      </c>
      <c r="I144">
        <v>0.16906018721944699</v>
      </c>
    </row>
    <row r="145" spans="1:10" hidden="1" x14ac:dyDescent="0.2">
      <c r="A145" s="2" t="s">
        <v>23</v>
      </c>
      <c r="B145" t="s">
        <v>7</v>
      </c>
      <c r="C145" s="20" t="s">
        <v>24</v>
      </c>
      <c r="D145" s="20">
        <v>0.67100775996039497</v>
      </c>
      <c r="E145" s="20">
        <v>0.37814974008819502</v>
      </c>
      <c r="F145" s="20">
        <v>1.7744498774583199</v>
      </c>
      <c r="G145" s="20">
        <v>-7.8793320468105998E-2</v>
      </c>
      <c r="H145" s="20">
        <v>1.4208088403889001</v>
      </c>
      <c r="I145" s="20">
        <v>7.8887028311079396E-2</v>
      </c>
      <c r="J145" s="20" t="s">
        <v>200</v>
      </c>
    </row>
    <row r="146" spans="1:10" hidden="1" x14ac:dyDescent="0.2">
      <c r="A146" s="2" t="s">
        <v>23</v>
      </c>
      <c r="B146" t="s">
        <v>21</v>
      </c>
      <c r="C146" t="s">
        <v>24</v>
      </c>
      <c r="D146">
        <v>-6.1264481590759499E-2</v>
      </c>
      <c r="E146">
        <v>0.48287561397197498</v>
      </c>
      <c r="F146">
        <v>-0.126874250465494</v>
      </c>
      <c r="G146">
        <v>-1.01871762431755</v>
      </c>
      <c r="H146">
        <v>0.89618866113603401</v>
      </c>
      <c r="I146">
        <v>0.89928257403327105</v>
      </c>
    </row>
    <row r="147" spans="1:10" hidden="1" x14ac:dyDescent="0.2">
      <c r="A147" s="2" t="s">
        <v>23</v>
      </c>
      <c r="B147" t="s">
        <v>11</v>
      </c>
      <c r="C147" t="s">
        <v>24</v>
      </c>
      <c r="D147">
        <v>0.63980015654950795</v>
      </c>
      <c r="E147">
        <v>0.43607606399024301</v>
      </c>
      <c r="F147">
        <v>1.46717559018287</v>
      </c>
      <c r="G147">
        <v>-0.22485812366677199</v>
      </c>
      <c r="H147">
        <v>1.5044584367657901</v>
      </c>
      <c r="I147">
        <v>0.14531721320819099</v>
      </c>
    </row>
    <row r="148" spans="1:10" hidden="1" x14ac:dyDescent="0.2">
      <c r="A148" s="2" t="s">
        <v>23</v>
      </c>
      <c r="B148" t="s">
        <v>13</v>
      </c>
      <c r="C148" t="s">
        <v>24</v>
      </c>
      <c r="D148">
        <v>0.581060721158417</v>
      </c>
      <c r="E148">
        <v>0.428069207533334</v>
      </c>
      <c r="F148">
        <v>1.35739901617</v>
      </c>
      <c r="G148">
        <v>-0.26772144178002</v>
      </c>
      <c r="H148">
        <v>1.42984288409685</v>
      </c>
      <c r="I148">
        <v>0.177564880002994</v>
      </c>
    </row>
    <row r="149" spans="1:10" hidden="1" x14ac:dyDescent="0.2">
      <c r="A149" s="2" t="s">
        <v>23</v>
      </c>
      <c r="B149" t="s">
        <v>17</v>
      </c>
      <c r="C149" t="s">
        <v>24</v>
      </c>
      <c r="D149">
        <v>0.114786081070956</v>
      </c>
      <c r="E149">
        <v>0.49040320323596298</v>
      </c>
      <c r="F149">
        <v>0.23406470494795201</v>
      </c>
      <c r="G149">
        <v>-0.85759288062332895</v>
      </c>
      <c r="H149">
        <v>1.08716504276524</v>
      </c>
      <c r="I149">
        <v>0.81539052070932005</v>
      </c>
    </row>
    <row r="150" spans="1:10" hidden="1" x14ac:dyDescent="0.2">
      <c r="A150" s="2" t="s">
        <v>23</v>
      </c>
      <c r="B150" t="s">
        <v>26</v>
      </c>
      <c r="C150" t="s">
        <v>24</v>
      </c>
      <c r="D150">
        <v>0.20178162428382801</v>
      </c>
      <c r="E150">
        <v>0.50232178657793403</v>
      </c>
      <c r="F150">
        <v>0.401697934820754</v>
      </c>
      <c r="G150">
        <v>-0.79422968650291703</v>
      </c>
      <c r="H150">
        <v>1.1977929350705701</v>
      </c>
      <c r="I150">
        <v>0.68872278157370104</v>
      </c>
    </row>
    <row r="151" spans="1:10" hidden="1" x14ac:dyDescent="0.2">
      <c r="A151" s="2" t="s">
        <v>23</v>
      </c>
      <c r="B151" t="s">
        <v>9</v>
      </c>
      <c r="C151" s="20" t="s">
        <v>24</v>
      </c>
      <c r="D151" s="20">
        <v>0.70048576000329998</v>
      </c>
      <c r="E151" s="20">
        <v>0.36935913653270602</v>
      </c>
      <c r="F151" s="20">
        <v>1.8964895970328199</v>
      </c>
      <c r="G151" s="20">
        <v>-3.1885177429498701E-2</v>
      </c>
      <c r="H151" s="20">
        <v>1.4328566974360999</v>
      </c>
      <c r="I151" s="20">
        <v>6.0643738299023302E-2</v>
      </c>
      <c r="J151" s="20" t="s">
        <v>200</v>
      </c>
    </row>
    <row r="152" spans="1:10" x14ac:dyDescent="0.2">
      <c r="A152" s="68" t="s">
        <v>226</v>
      </c>
      <c r="B152" s="15" t="s">
        <v>18</v>
      </c>
      <c r="C152" s="20" t="s">
        <v>258</v>
      </c>
      <c r="D152" s="20">
        <v>-0.43419679691184399</v>
      </c>
      <c r="E152" s="20">
        <v>0.21981798472413999</v>
      </c>
      <c r="F152" s="20">
        <v>-1.9752560167301001</v>
      </c>
      <c r="G152" s="20">
        <v>-0.87005525447771503</v>
      </c>
      <c r="H152" s="20">
        <v>1.66166065402795E-3</v>
      </c>
      <c r="I152" s="20">
        <v>5.08638506875837E-2</v>
      </c>
      <c r="J152" s="20" t="s">
        <v>200</v>
      </c>
    </row>
    <row r="153" spans="1:10" x14ac:dyDescent="0.2">
      <c r="A153" s="68" t="s">
        <v>226</v>
      </c>
      <c r="B153" s="12" t="s">
        <v>25</v>
      </c>
      <c r="C153" t="s">
        <v>258</v>
      </c>
      <c r="D153">
        <v>-0.32019732680650997</v>
      </c>
      <c r="E153">
        <v>0.23190134510554999</v>
      </c>
      <c r="F153">
        <v>-1.3807480360270099</v>
      </c>
      <c r="G153">
        <v>-0.78001485589541097</v>
      </c>
      <c r="H153">
        <v>0.139620202282392</v>
      </c>
      <c r="I153">
        <v>0.17028844150283601</v>
      </c>
    </row>
    <row r="154" spans="1:10" x14ac:dyDescent="0.2">
      <c r="A154" s="68" t="s">
        <v>226</v>
      </c>
      <c r="B154" s="34" t="s">
        <v>14</v>
      </c>
      <c r="C154" t="s">
        <v>258</v>
      </c>
      <c r="D154">
        <v>-0.22130735316455699</v>
      </c>
      <c r="E154">
        <v>0.221402680511156</v>
      </c>
      <c r="F154">
        <v>-0.99956943905837403</v>
      </c>
      <c r="G154">
        <v>-0.66030796974124195</v>
      </c>
      <c r="H154">
        <v>0.217693263412129</v>
      </c>
      <c r="I154">
        <v>0.31981691803754903</v>
      </c>
    </row>
    <row r="155" spans="1:10" x14ac:dyDescent="0.2">
      <c r="A155" s="68" t="s">
        <v>226</v>
      </c>
      <c r="B155" s="3" t="s">
        <v>7</v>
      </c>
      <c r="C155" s="20" t="s">
        <v>258</v>
      </c>
      <c r="D155" s="20">
        <v>-0.353711643139692</v>
      </c>
      <c r="E155" s="20">
        <v>0.19788577533413301</v>
      </c>
      <c r="F155" s="20">
        <v>-1.7874536082365899</v>
      </c>
      <c r="G155" s="20">
        <v>-0.74608258093898705</v>
      </c>
      <c r="H155" s="20">
        <v>3.86592946596023E-2</v>
      </c>
      <c r="I155" s="20">
        <v>7.6749210545859495E-2</v>
      </c>
      <c r="J155" s="20" t="s">
        <v>200</v>
      </c>
    </row>
    <row r="156" spans="1:10" x14ac:dyDescent="0.2">
      <c r="A156" s="68" t="s">
        <v>226</v>
      </c>
      <c r="B156" s="9" t="s">
        <v>21</v>
      </c>
      <c r="C156" t="s">
        <v>258</v>
      </c>
      <c r="D156">
        <v>1.13844916957507E-2</v>
      </c>
      <c r="E156">
        <v>0.25275986576409598</v>
      </c>
      <c r="F156">
        <v>4.50407411846626E-2</v>
      </c>
      <c r="G156">
        <v>-0.48979163074368398</v>
      </c>
      <c r="H156">
        <v>0.51256061413518605</v>
      </c>
      <c r="I156">
        <v>0.96416038349418798</v>
      </c>
    </row>
    <row r="157" spans="1:10" x14ac:dyDescent="0.2">
      <c r="A157" s="68" t="s">
        <v>226</v>
      </c>
      <c r="B157" s="13" t="s">
        <v>11</v>
      </c>
      <c r="C157" t="s">
        <v>258</v>
      </c>
      <c r="D157">
        <v>-0.23664491201943899</v>
      </c>
      <c r="E157">
        <v>0.22941580488542801</v>
      </c>
      <c r="F157">
        <v>-1.03151093769508</v>
      </c>
      <c r="G157">
        <v>-0.69153407399625</v>
      </c>
      <c r="H157">
        <v>0.21824424995737199</v>
      </c>
      <c r="I157">
        <v>0.30467141159741301</v>
      </c>
    </row>
    <row r="158" spans="1:10" x14ac:dyDescent="0.2">
      <c r="A158" s="68" t="s">
        <v>226</v>
      </c>
      <c r="B158" s="14" t="s">
        <v>13</v>
      </c>
      <c r="C158" t="s">
        <v>258</v>
      </c>
      <c r="D158">
        <v>-0.25937793365732298</v>
      </c>
      <c r="E158">
        <v>0.22459197833676101</v>
      </c>
      <c r="F158">
        <v>-1.1548851191310301</v>
      </c>
      <c r="G158">
        <v>-0.70470233867529897</v>
      </c>
      <c r="H158">
        <v>0.18594647136065301</v>
      </c>
      <c r="I158">
        <v>0.25075899355571502</v>
      </c>
    </row>
    <row r="159" spans="1:10" x14ac:dyDescent="0.2">
      <c r="A159" s="68" t="s">
        <v>226</v>
      </c>
      <c r="B159" s="127" t="s">
        <v>17</v>
      </c>
      <c r="C159" t="s">
        <v>258</v>
      </c>
      <c r="D159">
        <v>-0.113519056638336</v>
      </c>
      <c r="E159">
        <v>0.256510805704314</v>
      </c>
      <c r="F159">
        <v>-0.44255077803307902</v>
      </c>
      <c r="G159">
        <v>-0.62213260008232396</v>
      </c>
      <c r="H159">
        <v>0.39509448680565101</v>
      </c>
      <c r="I159">
        <v>0.65900100130684203</v>
      </c>
    </row>
    <row r="160" spans="1:10" x14ac:dyDescent="0.2">
      <c r="A160" s="68" t="s">
        <v>226</v>
      </c>
      <c r="B160" s="53" t="s">
        <v>26</v>
      </c>
      <c r="C160" t="s">
        <v>258</v>
      </c>
      <c r="D160">
        <v>-0.20337251201310999</v>
      </c>
      <c r="E160">
        <v>0.26237365217735098</v>
      </c>
      <c r="F160">
        <v>-0.77512551403462104</v>
      </c>
      <c r="G160">
        <v>-0.72361099699175102</v>
      </c>
      <c r="H160">
        <v>0.31686597296553098</v>
      </c>
      <c r="I160">
        <v>0.44000764987594698</v>
      </c>
    </row>
    <row r="161" spans="1:10" x14ac:dyDescent="0.2">
      <c r="A161" s="68" t="s">
        <v>226</v>
      </c>
      <c r="B161" s="5" t="s">
        <v>9</v>
      </c>
      <c r="C161" s="11" t="s">
        <v>258</v>
      </c>
      <c r="D161" s="11">
        <v>-0.448035544864827</v>
      </c>
      <c r="E161" s="11">
        <v>0.19168680088404499</v>
      </c>
      <c r="F161" s="11">
        <v>-2.3373312236341901</v>
      </c>
      <c r="G161" s="11">
        <v>-0.82811506144262204</v>
      </c>
      <c r="H161" s="11">
        <v>-6.7956028287033399E-2</v>
      </c>
      <c r="I161" s="11">
        <v>2.1318724655811999E-2</v>
      </c>
      <c r="J161" s="11" t="s">
        <v>61</v>
      </c>
    </row>
    <row r="162" spans="1:10" hidden="1" x14ac:dyDescent="0.2">
      <c r="A162" s="4" t="s">
        <v>85</v>
      </c>
      <c r="B162" t="s">
        <v>18</v>
      </c>
      <c r="C162" t="s">
        <v>183</v>
      </c>
      <c r="D162">
        <v>-0.29263708914443498</v>
      </c>
      <c r="E162">
        <v>0.22530491459395899</v>
      </c>
      <c r="F162">
        <v>-1.29884911597166</v>
      </c>
      <c r="G162">
        <v>-0.73947624789987998</v>
      </c>
      <c r="H162">
        <v>0.15420206961100999</v>
      </c>
      <c r="I162">
        <v>0.19689592654961599</v>
      </c>
    </row>
    <row r="163" spans="1:10" hidden="1" x14ac:dyDescent="0.2">
      <c r="A163" s="4" t="s">
        <v>85</v>
      </c>
      <c r="B163" t="s">
        <v>18</v>
      </c>
      <c r="C163" t="s">
        <v>104</v>
      </c>
      <c r="D163">
        <v>9.7835201564067401E-2</v>
      </c>
      <c r="E163">
        <v>0.20995188825277</v>
      </c>
      <c r="F163">
        <v>0.46598867187267001</v>
      </c>
      <c r="G163">
        <v>-0.31855485053513399</v>
      </c>
      <c r="H163">
        <v>0.51422525366326899</v>
      </c>
      <c r="I163">
        <v>0.64220755090670301</v>
      </c>
    </row>
    <row r="164" spans="1:10" hidden="1" x14ac:dyDescent="0.2">
      <c r="A164" s="4" t="s">
        <v>85</v>
      </c>
      <c r="B164" t="s">
        <v>18</v>
      </c>
      <c r="C164" t="s">
        <v>103</v>
      </c>
      <c r="D164">
        <v>-0.207088728351808</v>
      </c>
      <c r="E164">
        <v>0.19338377962387601</v>
      </c>
      <c r="F164">
        <v>-1.0708691740051199</v>
      </c>
      <c r="G164">
        <v>-0.59061984466061201</v>
      </c>
      <c r="H164">
        <v>0.17644238795699599</v>
      </c>
      <c r="I164">
        <v>0.28673117511846102</v>
      </c>
    </row>
    <row r="165" spans="1:10" hidden="1" x14ac:dyDescent="0.2">
      <c r="A165" s="4" t="s">
        <v>85</v>
      </c>
      <c r="B165" t="s">
        <v>25</v>
      </c>
      <c r="C165" t="s">
        <v>183</v>
      </c>
      <c r="D165">
        <v>-0.34312596243448601</v>
      </c>
      <c r="E165">
        <v>0.23472312702888901</v>
      </c>
      <c r="F165">
        <v>-1.4618327847696799</v>
      </c>
      <c r="G165">
        <v>-0.80864392421998599</v>
      </c>
      <c r="H165">
        <v>0.122391999351014</v>
      </c>
      <c r="I165">
        <v>0.14683136405059799</v>
      </c>
    </row>
    <row r="166" spans="1:10" hidden="1" x14ac:dyDescent="0.2">
      <c r="A166" s="4" t="s">
        <v>85</v>
      </c>
      <c r="B166" t="s">
        <v>25</v>
      </c>
      <c r="C166" t="s">
        <v>104</v>
      </c>
      <c r="D166">
        <v>0.15845298373132999</v>
      </c>
      <c r="E166">
        <v>0.21872831236337001</v>
      </c>
      <c r="F166">
        <v>0.72442831940336205</v>
      </c>
      <c r="G166">
        <v>-0.27534303562575102</v>
      </c>
      <c r="H166">
        <v>0.59224900308841</v>
      </c>
      <c r="I166">
        <v>0.47044517492976601</v>
      </c>
    </row>
    <row r="167" spans="1:10" hidden="1" x14ac:dyDescent="0.2">
      <c r="A167" s="4" t="s">
        <v>85</v>
      </c>
      <c r="B167" t="s">
        <v>25</v>
      </c>
      <c r="C167" t="s">
        <v>103</v>
      </c>
      <c r="D167">
        <v>-0.19129193445635501</v>
      </c>
      <c r="E167">
        <v>0.201467622451936</v>
      </c>
      <c r="F167">
        <v>-0.94949219198728296</v>
      </c>
      <c r="G167">
        <v>-0.590855446398037</v>
      </c>
      <c r="H167">
        <v>0.20827157748532599</v>
      </c>
      <c r="I167">
        <v>0.34459290018380001</v>
      </c>
    </row>
    <row r="168" spans="1:10" hidden="1" x14ac:dyDescent="0.2">
      <c r="A168" s="4" t="s">
        <v>85</v>
      </c>
      <c r="B168" t="s">
        <v>14</v>
      </c>
      <c r="C168" t="s">
        <v>183</v>
      </c>
      <c r="D168">
        <v>-0.18890913560243799</v>
      </c>
      <c r="E168">
        <v>0.22507074612892899</v>
      </c>
      <c r="F168">
        <v>-0.83933224931073003</v>
      </c>
      <c r="G168">
        <v>-0.63528387643735296</v>
      </c>
      <c r="H168">
        <v>0.25746560523247602</v>
      </c>
      <c r="I168">
        <v>0.403226758088857</v>
      </c>
    </row>
    <row r="169" spans="1:10" hidden="1" x14ac:dyDescent="0.2">
      <c r="A169" s="4" t="s">
        <v>85</v>
      </c>
      <c r="B169" t="s">
        <v>14</v>
      </c>
      <c r="C169" t="s">
        <v>104</v>
      </c>
      <c r="D169">
        <v>8.5781369622222298E-2</v>
      </c>
      <c r="E169">
        <v>0.209733676805892</v>
      </c>
      <c r="F169">
        <v>0.40900141040111998</v>
      </c>
      <c r="G169">
        <v>-0.33017591153840697</v>
      </c>
      <c r="H169">
        <v>0.50173865078285096</v>
      </c>
      <c r="I169">
        <v>0.68338782196166503</v>
      </c>
    </row>
    <row r="170" spans="1:10" hidden="1" x14ac:dyDescent="0.2">
      <c r="A170" s="4" t="s">
        <v>85</v>
      </c>
      <c r="B170" t="s">
        <v>14</v>
      </c>
      <c r="C170" t="s">
        <v>103</v>
      </c>
      <c r="D170">
        <v>-0.200364733619423</v>
      </c>
      <c r="E170">
        <v>0.19318278807907099</v>
      </c>
      <c r="F170">
        <v>-1.0371769432037199</v>
      </c>
      <c r="G170">
        <v>-0.58349723060401404</v>
      </c>
      <c r="H170">
        <v>0.18276776336516901</v>
      </c>
      <c r="I170">
        <v>0.30208220970797001</v>
      </c>
    </row>
    <row r="171" spans="1:10" hidden="1" x14ac:dyDescent="0.2">
      <c r="A171" s="4" t="s">
        <v>85</v>
      </c>
      <c r="B171" t="s">
        <v>7</v>
      </c>
      <c r="C171" t="s">
        <v>183</v>
      </c>
      <c r="D171">
        <v>-0.32222737860595801</v>
      </c>
      <c r="E171">
        <v>0.20259514792706601</v>
      </c>
      <c r="F171">
        <v>-1.59049899221654</v>
      </c>
      <c r="G171">
        <v>-0.72402707139478195</v>
      </c>
      <c r="H171">
        <v>7.9572314182865894E-2</v>
      </c>
      <c r="I171">
        <v>0.114787113699825</v>
      </c>
    </row>
    <row r="172" spans="1:10" hidden="1" x14ac:dyDescent="0.2">
      <c r="A172" s="4" t="s">
        <v>85</v>
      </c>
      <c r="B172" t="s">
        <v>7</v>
      </c>
      <c r="C172" t="s">
        <v>104</v>
      </c>
      <c r="D172">
        <v>6.6604126373373096E-2</v>
      </c>
      <c r="E172">
        <v>0.18878964062897999</v>
      </c>
      <c r="F172">
        <v>0.352795450806897</v>
      </c>
      <c r="G172">
        <v>-0.30781559879074999</v>
      </c>
      <c r="H172">
        <v>0.44102385153749601</v>
      </c>
      <c r="I172">
        <v>0.72496272984096799</v>
      </c>
    </row>
    <row r="173" spans="1:10" hidden="1" x14ac:dyDescent="0.2">
      <c r="A173" s="4" t="s">
        <v>85</v>
      </c>
      <c r="B173" t="s">
        <v>7</v>
      </c>
      <c r="C173" t="s">
        <v>103</v>
      </c>
      <c r="D173">
        <v>-5.5300639670092099E-2</v>
      </c>
      <c r="E173">
        <v>0.173891526113406</v>
      </c>
      <c r="F173">
        <v>-0.31801802483478703</v>
      </c>
      <c r="G173">
        <v>-0.40017346849074698</v>
      </c>
      <c r="H173">
        <v>0.28957218915056299</v>
      </c>
      <c r="I173">
        <v>0.75111513331574198</v>
      </c>
    </row>
    <row r="174" spans="1:10" hidden="1" x14ac:dyDescent="0.2">
      <c r="A174" s="4" t="s">
        <v>85</v>
      </c>
      <c r="B174" t="s">
        <v>21</v>
      </c>
      <c r="C174" t="s">
        <v>183</v>
      </c>
      <c r="D174">
        <v>-0.34612859510028299</v>
      </c>
      <c r="E174">
        <v>0.25304816382164302</v>
      </c>
      <c r="F174">
        <v>-1.3678368175958999</v>
      </c>
      <c r="G174">
        <v>-0.84798994530850602</v>
      </c>
      <c r="H174">
        <v>0.15573275510794099</v>
      </c>
      <c r="I174">
        <v>0.17434011327458299</v>
      </c>
    </row>
    <row r="175" spans="1:10" hidden="1" x14ac:dyDescent="0.2">
      <c r="A175" s="4" t="s">
        <v>85</v>
      </c>
      <c r="B175" t="s">
        <v>21</v>
      </c>
      <c r="C175" t="s">
        <v>104</v>
      </c>
      <c r="D175">
        <v>0.29103162757795698</v>
      </c>
      <c r="E175">
        <v>0.23580462019213599</v>
      </c>
      <c r="F175">
        <v>1.2342066382788499</v>
      </c>
      <c r="G175">
        <v>-0.176631220821029</v>
      </c>
      <c r="H175">
        <v>0.75869447597694195</v>
      </c>
      <c r="I175">
        <v>0.21993449102336299</v>
      </c>
    </row>
    <row r="176" spans="1:10" hidden="1" x14ac:dyDescent="0.2">
      <c r="A176" s="4" t="s">
        <v>85</v>
      </c>
      <c r="B176" t="s">
        <v>21</v>
      </c>
      <c r="C176" t="s">
        <v>103</v>
      </c>
      <c r="D176">
        <v>-0.12537187685311499</v>
      </c>
      <c r="E176">
        <v>0.21719637334543501</v>
      </c>
      <c r="F176">
        <v>-0.57722822403539897</v>
      </c>
      <c r="G176">
        <v>-0.55612965648394597</v>
      </c>
      <c r="H176">
        <v>0.30538590277771599</v>
      </c>
      <c r="I176">
        <v>0.56504486645231</v>
      </c>
    </row>
    <row r="177" spans="1:10" hidden="1" x14ac:dyDescent="0.2">
      <c r="A177" s="4" t="s">
        <v>85</v>
      </c>
      <c r="B177" t="s">
        <v>11</v>
      </c>
      <c r="C177" s="11" t="s">
        <v>183</v>
      </c>
      <c r="D177" s="11">
        <v>-0.47159415236936097</v>
      </c>
      <c r="E177" s="11">
        <v>0.227985208370034</v>
      </c>
      <c r="F177" s="11">
        <v>-2.0685296021658299</v>
      </c>
      <c r="G177" s="11">
        <v>-0.92374904166835503</v>
      </c>
      <c r="H177" s="11">
        <v>-1.9439263070366499E-2</v>
      </c>
      <c r="I177" s="11">
        <v>4.1094970677850902E-2</v>
      </c>
      <c r="J177" s="11" t="s">
        <v>61</v>
      </c>
    </row>
    <row r="178" spans="1:10" hidden="1" x14ac:dyDescent="0.2">
      <c r="A178" s="4" t="s">
        <v>85</v>
      </c>
      <c r="B178" t="s">
        <v>11</v>
      </c>
      <c r="C178" t="s">
        <v>104</v>
      </c>
      <c r="D178">
        <v>0.23282586898928601</v>
      </c>
      <c r="E178">
        <v>0.21244953789513699</v>
      </c>
      <c r="F178">
        <v>1.09591139287018</v>
      </c>
      <c r="G178">
        <v>-0.18851768209182801</v>
      </c>
      <c r="H178">
        <v>0.65416942007040002</v>
      </c>
      <c r="I178">
        <v>0.275673380439941</v>
      </c>
    </row>
    <row r="179" spans="1:10" hidden="1" x14ac:dyDescent="0.2">
      <c r="A179" s="4" t="s">
        <v>85</v>
      </c>
      <c r="B179" t="s">
        <v>11</v>
      </c>
      <c r="C179" t="s">
        <v>103</v>
      </c>
      <c r="D179">
        <v>-0.179271690223997</v>
      </c>
      <c r="E179">
        <v>0.195684330154937</v>
      </c>
      <c r="F179">
        <v>-0.91612695856666604</v>
      </c>
      <c r="G179">
        <v>-0.56736540591429396</v>
      </c>
      <c r="H179">
        <v>0.20882202546629999</v>
      </c>
      <c r="I179">
        <v>0.36174027509525902</v>
      </c>
    </row>
    <row r="180" spans="1:10" hidden="1" x14ac:dyDescent="0.2">
      <c r="A180" s="4" t="s">
        <v>85</v>
      </c>
      <c r="B180" t="s">
        <v>13</v>
      </c>
      <c r="C180" s="20" t="s">
        <v>183</v>
      </c>
      <c r="D180" s="20">
        <v>-0.441080751235923</v>
      </c>
      <c r="E180" s="20">
        <v>0.22444826105506199</v>
      </c>
      <c r="F180" s="20">
        <v>-1.9651778506215101</v>
      </c>
      <c r="G180" s="20">
        <v>-0.88622093974317895</v>
      </c>
      <c r="H180" s="20">
        <v>4.0594372713340099E-3</v>
      </c>
      <c r="I180" s="20">
        <v>5.2086723743446299E-2</v>
      </c>
      <c r="J180" s="20" t="s">
        <v>200</v>
      </c>
    </row>
    <row r="181" spans="1:10" hidden="1" x14ac:dyDescent="0.2">
      <c r="A181" s="4" t="s">
        <v>85</v>
      </c>
      <c r="B181" t="s">
        <v>13</v>
      </c>
      <c r="C181" t="s">
        <v>104</v>
      </c>
      <c r="D181">
        <v>0.276451560782421</v>
      </c>
      <c r="E181">
        <v>0.20915360993561</v>
      </c>
      <c r="F181">
        <v>1.3217632766057901</v>
      </c>
      <c r="G181">
        <v>-0.13835529455280701</v>
      </c>
      <c r="H181">
        <v>0.69125841611764904</v>
      </c>
      <c r="I181">
        <v>0.18917517356527699</v>
      </c>
    </row>
    <row r="182" spans="1:10" hidden="1" x14ac:dyDescent="0.2">
      <c r="A182" s="4" t="s">
        <v>85</v>
      </c>
      <c r="B182" t="s">
        <v>13</v>
      </c>
      <c r="C182" t="s">
        <v>103</v>
      </c>
      <c r="D182">
        <v>5.0893375966521E-2</v>
      </c>
      <c r="E182">
        <v>0.19264849650997301</v>
      </c>
      <c r="F182">
        <v>0.26417738465914398</v>
      </c>
      <c r="G182">
        <v>-0.33117947970622302</v>
      </c>
      <c r="H182">
        <v>0.43296623163926601</v>
      </c>
      <c r="I182">
        <v>0.79217109870452196</v>
      </c>
    </row>
    <row r="183" spans="1:10" hidden="1" x14ac:dyDescent="0.2">
      <c r="A183" s="4" t="s">
        <v>85</v>
      </c>
      <c r="B183" t="s">
        <v>17</v>
      </c>
      <c r="C183" t="s">
        <v>183</v>
      </c>
      <c r="D183">
        <v>-0.40570981673657502</v>
      </c>
      <c r="E183">
        <v>0.25589526205791202</v>
      </c>
      <c r="F183">
        <v>-1.58545263196298</v>
      </c>
      <c r="G183">
        <v>-0.91321771479344005</v>
      </c>
      <c r="H183">
        <v>0.10179808132029</v>
      </c>
      <c r="I183">
        <v>0.115929032174915</v>
      </c>
    </row>
    <row r="184" spans="1:10" hidden="1" x14ac:dyDescent="0.2">
      <c r="A184" s="4" t="s">
        <v>85</v>
      </c>
      <c r="B184" t="s">
        <v>17</v>
      </c>
      <c r="C184" t="s">
        <v>104</v>
      </c>
      <c r="D184">
        <v>0.33351647500696502</v>
      </c>
      <c r="E184">
        <v>0.238457707683916</v>
      </c>
      <c r="F184">
        <v>1.39863994435882</v>
      </c>
      <c r="G184">
        <v>-0.139408146687416</v>
      </c>
      <c r="H184">
        <v>0.80644109670134601</v>
      </c>
      <c r="I184">
        <v>0.16492482920992199</v>
      </c>
    </row>
    <row r="185" spans="1:10" hidden="1" x14ac:dyDescent="0.2">
      <c r="A185" s="4" t="s">
        <v>85</v>
      </c>
      <c r="B185" t="s">
        <v>17</v>
      </c>
      <c r="C185" t="s">
        <v>103</v>
      </c>
      <c r="D185">
        <v>-8.8663027911737899E-2</v>
      </c>
      <c r="E185">
        <v>0.21964009552913699</v>
      </c>
      <c r="F185">
        <v>-0.40367414564330401</v>
      </c>
      <c r="G185">
        <v>-0.52426735412929204</v>
      </c>
      <c r="H185">
        <v>0.34694129830581599</v>
      </c>
      <c r="I185">
        <v>0.68728919470616301</v>
      </c>
    </row>
    <row r="186" spans="1:10" hidden="1" x14ac:dyDescent="0.2">
      <c r="A186" s="4" t="s">
        <v>85</v>
      </c>
      <c r="B186" t="s">
        <v>26</v>
      </c>
      <c r="C186" t="s">
        <v>183</v>
      </c>
      <c r="D186">
        <v>-0.37386580198124503</v>
      </c>
      <c r="E186">
        <v>0.26493501661364399</v>
      </c>
      <c r="F186">
        <v>-1.4111603923103</v>
      </c>
      <c r="G186">
        <v>-0.89930192112604601</v>
      </c>
      <c r="H186">
        <v>0.15157031716355601</v>
      </c>
      <c r="I186">
        <v>0.161210772957428</v>
      </c>
    </row>
    <row r="187" spans="1:10" hidden="1" x14ac:dyDescent="0.2">
      <c r="A187" s="4" t="s">
        <v>85</v>
      </c>
      <c r="B187" t="s">
        <v>26</v>
      </c>
      <c r="C187" t="s">
        <v>104</v>
      </c>
      <c r="D187">
        <v>0.14794274529698401</v>
      </c>
      <c r="E187">
        <v>0.246881463294121</v>
      </c>
      <c r="F187">
        <v>0.59924606458093399</v>
      </c>
      <c r="G187">
        <v>-0.34168840886344998</v>
      </c>
      <c r="H187">
        <v>0.63757389945741805</v>
      </c>
      <c r="I187">
        <v>0.55032463212602001</v>
      </c>
    </row>
    <row r="188" spans="1:10" hidden="1" x14ac:dyDescent="0.2">
      <c r="A188" s="4" t="s">
        <v>85</v>
      </c>
      <c r="B188" t="s">
        <v>26</v>
      </c>
      <c r="C188" t="s">
        <v>103</v>
      </c>
      <c r="D188">
        <v>-0.17140955350156301</v>
      </c>
      <c r="E188">
        <v>0.22739910028058699</v>
      </c>
      <c r="F188">
        <v>-0.75378290103197698</v>
      </c>
      <c r="G188">
        <v>-0.62240203564179497</v>
      </c>
      <c r="H188">
        <v>0.27958292863867001</v>
      </c>
      <c r="I188">
        <v>0.45269930808854097</v>
      </c>
    </row>
    <row r="189" spans="1:10" hidden="1" x14ac:dyDescent="0.2">
      <c r="A189" s="4" t="s">
        <v>85</v>
      </c>
      <c r="B189" t="s">
        <v>9</v>
      </c>
      <c r="C189" t="s">
        <v>183</v>
      </c>
      <c r="D189">
        <v>-9.0485092707502005E-2</v>
      </c>
      <c r="E189">
        <v>0.200686633622782</v>
      </c>
      <c r="F189">
        <v>-0.45087752519473301</v>
      </c>
      <c r="G189">
        <v>-0.48849969750685202</v>
      </c>
      <c r="H189">
        <v>0.30752951209184798</v>
      </c>
      <c r="I189">
        <v>0.653025579866227</v>
      </c>
    </row>
    <row r="190" spans="1:10" hidden="1" x14ac:dyDescent="0.2">
      <c r="A190" s="4" t="s">
        <v>85</v>
      </c>
      <c r="B190" t="s">
        <v>9</v>
      </c>
      <c r="C190" t="s">
        <v>104</v>
      </c>
      <c r="D190">
        <v>3.9006789836012003E-2</v>
      </c>
      <c r="E190">
        <v>0.18701117883792701</v>
      </c>
      <c r="F190">
        <v>0.20857999012891701</v>
      </c>
      <c r="G190">
        <v>-0.33188577582506601</v>
      </c>
      <c r="H190">
        <v>0.40989935549709</v>
      </c>
      <c r="I190">
        <v>0.83518805244051197</v>
      </c>
    </row>
    <row r="191" spans="1:10" hidden="1" x14ac:dyDescent="0.2">
      <c r="A191" s="4" t="s">
        <v>85</v>
      </c>
      <c r="B191" t="s">
        <v>9</v>
      </c>
      <c r="C191" t="s">
        <v>103</v>
      </c>
      <c r="D191">
        <v>5.5466596406525202E-2</v>
      </c>
      <c r="E191">
        <v>0.17225340956235899</v>
      </c>
      <c r="F191">
        <v>0.322005796851559</v>
      </c>
      <c r="G191">
        <v>-0.28615741459347799</v>
      </c>
      <c r="H191">
        <v>0.39709060740652902</v>
      </c>
      <c r="I191">
        <v>0.74810092162055997</v>
      </c>
    </row>
    <row r="192" spans="1:10" hidden="1" x14ac:dyDescent="0.2">
      <c r="A192" s="35" t="s">
        <v>84</v>
      </c>
      <c r="B192" t="s">
        <v>18</v>
      </c>
      <c r="C192" t="s">
        <v>135</v>
      </c>
      <c r="D192">
        <v>-0.41393227596444498</v>
      </c>
      <c r="E192">
        <v>0.25230618395173599</v>
      </c>
      <c r="F192">
        <v>-1.6405950479740401</v>
      </c>
      <c r="G192">
        <v>-0.91432208410053795</v>
      </c>
      <c r="H192">
        <v>8.6457532171648296E-2</v>
      </c>
      <c r="I192">
        <v>0.103931932994901</v>
      </c>
    </row>
    <row r="193" spans="1:10" hidden="1" x14ac:dyDescent="0.2">
      <c r="A193" s="35" t="s">
        <v>84</v>
      </c>
      <c r="B193" t="s">
        <v>18</v>
      </c>
      <c r="C193" t="s">
        <v>143</v>
      </c>
      <c r="D193">
        <v>-0.26696487639619099</v>
      </c>
      <c r="E193">
        <v>0.29940179548218299</v>
      </c>
      <c r="F193">
        <v>-0.89166090659625696</v>
      </c>
      <c r="G193">
        <v>-0.86075772225680003</v>
      </c>
      <c r="H193">
        <v>0.326827969464419</v>
      </c>
      <c r="I193">
        <v>0.37465299634238802</v>
      </c>
    </row>
    <row r="194" spans="1:10" hidden="1" x14ac:dyDescent="0.2">
      <c r="A194" s="35" t="s">
        <v>84</v>
      </c>
      <c r="B194" t="s">
        <v>18</v>
      </c>
      <c r="C194" t="s">
        <v>88</v>
      </c>
      <c r="D194">
        <v>-0.48522674923249998</v>
      </c>
      <c r="E194">
        <v>0.323829991909376</v>
      </c>
      <c r="F194">
        <v>-1.4983996583253201</v>
      </c>
      <c r="G194">
        <v>-1.12746716118864</v>
      </c>
      <c r="H194">
        <v>0.157013662723643</v>
      </c>
      <c r="I194">
        <v>0.13708804410016701</v>
      </c>
    </row>
    <row r="195" spans="1:10" hidden="1" x14ac:dyDescent="0.2">
      <c r="A195" s="35" t="s">
        <v>84</v>
      </c>
      <c r="B195" t="s">
        <v>25</v>
      </c>
      <c r="C195" s="20" t="s">
        <v>135</v>
      </c>
      <c r="D195" s="20">
        <v>-0.483000286697778</v>
      </c>
      <c r="E195" s="20">
        <v>0.26285310541319701</v>
      </c>
      <c r="F195" s="20">
        <v>-1.8375293148563601</v>
      </c>
      <c r="G195" s="20">
        <v>-1.00430742600613</v>
      </c>
      <c r="H195" s="20">
        <v>3.8306852610573802E-2</v>
      </c>
      <c r="I195" s="20">
        <v>6.9014492340023104E-2</v>
      </c>
      <c r="J195" s="20" t="s">
        <v>200</v>
      </c>
    </row>
    <row r="196" spans="1:10" hidden="1" x14ac:dyDescent="0.2">
      <c r="A196" s="35" t="s">
        <v>84</v>
      </c>
      <c r="B196" t="s">
        <v>25</v>
      </c>
      <c r="C196" t="s">
        <v>143</v>
      </c>
      <c r="D196">
        <v>-0.379805820672381</v>
      </c>
      <c r="E196">
        <v>0.31191741112391203</v>
      </c>
      <c r="F196">
        <v>-1.21764866957523</v>
      </c>
      <c r="G196">
        <v>-0.99842043828499705</v>
      </c>
      <c r="H196">
        <v>0.23880879694023499</v>
      </c>
      <c r="I196">
        <v>0.22613971965622401</v>
      </c>
    </row>
    <row r="197" spans="1:10" hidden="1" x14ac:dyDescent="0.2">
      <c r="A197" s="35" t="s">
        <v>84</v>
      </c>
      <c r="B197" t="s">
        <v>25</v>
      </c>
      <c r="C197" t="s">
        <v>88</v>
      </c>
      <c r="D197">
        <v>-0.54590013990750097</v>
      </c>
      <c r="E197">
        <v>0.33736675679575401</v>
      </c>
      <c r="F197">
        <v>-1.6181207214734401</v>
      </c>
      <c r="G197">
        <v>-1.21498753229903</v>
      </c>
      <c r="H197">
        <v>0.123187252484026</v>
      </c>
      <c r="I197">
        <v>0.108694945292753</v>
      </c>
    </row>
    <row r="198" spans="1:10" hidden="1" x14ac:dyDescent="0.2">
      <c r="A198" s="35" t="s">
        <v>84</v>
      </c>
      <c r="B198" t="s">
        <v>14</v>
      </c>
      <c r="C198" t="s">
        <v>135</v>
      </c>
      <c r="D198">
        <v>-0.34947576924444501</v>
      </c>
      <c r="E198">
        <v>0.25204395198080798</v>
      </c>
      <c r="F198">
        <v>-1.3865667733660001</v>
      </c>
      <c r="G198">
        <v>-0.84934550211498505</v>
      </c>
      <c r="H198">
        <v>0.150393963626096</v>
      </c>
      <c r="I198">
        <v>0.168567765227535</v>
      </c>
    </row>
    <row r="199" spans="1:10" hidden="1" x14ac:dyDescent="0.2">
      <c r="A199" s="35" t="s">
        <v>84</v>
      </c>
      <c r="B199" t="s">
        <v>14</v>
      </c>
      <c r="C199" t="s">
        <v>143</v>
      </c>
      <c r="D199">
        <v>-0.1651410042</v>
      </c>
      <c r="E199">
        <v>0.29909061514685098</v>
      </c>
      <c r="F199">
        <v>-0.55214371777903104</v>
      </c>
      <c r="G199">
        <v>-0.75831669725898798</v>
      </c>
      <c r="H199">
        <v>0.42803468885898699</v>
      </c>
      <c r="I199">
        <v>0.58204599550760305</v>
      </c>
    </row>
    <row r="200" spans="1:10" hidden="1" x14ac:dyDescent="0.2">
      <c r="A200" s="35" t="s">
        <v>84</v>
      </c>
      <c r="B200" t="s">
        <v>14</v>
      </c>
      <c r="C200" t="s">
        <v>88</v>
      </c>
      <c r="D200">
        <v>-0.34305403420000002</v>
      </c>
      <c r="E200">
        <v>0.323493422366396</v>
      </c>
      <c r="F200">
        <v>-1.0604667992644701</v>
      </c>
      <c r="G200">
        <v>-0.98462693984932803</v>
      </c>
      <c r="H200">
        <v>0.29851887144932798</v>
      </c>
      <c r="I200">
        <v>0.29141266786042402</v>
      </c>
    </row>
    <row r="201" spans="1:10" hidden="1" x14ac:dyDescent="0.2">
      <c r="A201" s="35" t="s">
        <v>84</v>
      </c>
      <c r="B201" t="s">
        <v>7</v>
      </c>
      <c r="C201" t="s">
        <v>135</v>
      </c>
      <c r="D201">
        <v>-0.260170986728889</v>
      </c>
      <c r="E201">
        <v>0.22687480542861599</v>
      </c>
      <c r="F201">
        <v>-1.1467601536334999</v>
      </c>
      <c r="G201">
        <v>-0.71012365368791697</v>
      </c>
      <c r="H201">
        <v>0.189781680230138</v>
      </c>
      <c r="I201">
        <v>0.25413772762297698</v>
      </c>
    </row>
    <row r="202" spans="1:10" hidden="1" x14ac:dyDescent="0.2">
      <c r="A202" s="35" t="s">
        <v>84</v>
      </c>
      <c r="B202" t="s">
        <v>7</v>
      </c>
      <c r="C202" t="s">
        <v>143</v>
      </c>
      <c r="D202">
        <v>-0.33008185758285702</v>
      </c>
      <c r="E202">
        <v>0.26922338180974797</v>
      </c>
      <c r="F202">
        <v>-1.2260519697955401</v>
      </c>
      <c r="G202">
        <v>-0.86402293766078397</v>
      </c>
      <c r="H202">
        <v>0.20385922249506999</v>
      </c>
      <c r="I202">
        <v>0.22297485190505101</v>
      </c>
    </row>
    <row r="203" spans="1:10" hidden="1" x14ac:dyDescent="0.2">
      <c r="A203" s="35" t="s">
        <v>84</v>
      </c>
      <c r="B203" t="s">
        <v>7</v>
      </c>
      <c r="C203" t="s">
        <v>88</v>
      </c>
      <c r="D203">
        <v>-0.45704459156499999</v>
      </c>
      <c r="E203">
        <v>0.291189321068896</v>
      </c>
      <c r="F203">
        <v>-1.5695788220779701</v>
      </c>
      <c r="G203">
        <v>-1.03454993138187</v>
      </c>
      <c r="H203">
        <v>0.12046074825186701</v>
      </c>
      <c r="I203">
        <v>0.119580197774633</v>
      </c>
    </row>
    <row r="204" spans="1:10" hidden="1" x14ac:dyDescent="0.2">
      <c r="A204" s="35" t="s">
        <v>84</v>
      </c>
      <c r="B204" t="s">
        <v>21</v>
      </c>
      <c r="C204" s="20" t="s">
        <v>135</v>
      </c>
      <c r="D204" s="20">
        <v>-0.55796105674222196</v>
      </c>
      <c r="E204" s="20">
        <v>0.283374273858579</v>
      </c>
      <c r="F204" s="20">
        <v>-1.9689898068188001</v>
      </c>
      <c r="G204" s="20">
        <v>-1.11996709363716</v>
      </c>
      <c r="H204" s="20">
        <v>4.0449801527117097E-3</v>
      </c>
      <c r="I204" s="20">
        <v>5.1640871446204897E-2</v>
      </c>
      <c r="J204" s="20" t="s">
        <v>200</v>
      </c>
    </row>
    <row r="205" spans="1:10" hidden="1" x14ac:dyDescent="0.2">
      <c r="A205" s="35" t="s">
        <v>84</v>
      </c>
      <c r="B205" t="s">
        <v>21</v>
      </c>
      <c r="C205" t="s">
        <v>143</v>
      </c>
      <c r="D205">
        <v>-0.54455044679619102</v>
      </c>
      <c r="E205">
        <v>0.33626907219582203</v>
      </c>
      <c r="F205">
        <v>-1.6193890304579599</v>
      </c>
      <c r="G205">
        <v>-1.2114608406784</v>
      </c>
      <c r="H205">
        <v>0.12235994708601999</v>
      </c>
      <c r="I205">
        <v>0.108421564664926</v>
      </c>
    </row>
    <row r="206" spans="1:10" hidden="1" x14ac:dyDescent="0.2">
      <c r="A206" s="35" t="s">
        <v>84</v>
      </c>
      <c r="B206" t="s">
        <v>21</v>
      </c>
      <c r="C206" t="s">
        <v>88</v>
      </c>
      <c r="D206">
        <v>-0.52044824838250103</v>
      </c>
      <c r="E206">
        <v>0.36370527021447502</v>
      </c>
      <c r="F206">
        <v>-1.43096152573097</v>
      </c>
      <c r="G206">
        <v>-1.2417718700640099</v>
      </c>
      <c r="H206">
        <v>0.20087537329900801</v>
      </c>
      <c r="I206">
        <v>0.155468283210451</v>
      </c>
    </row>
    <row r="207" spans="1:10" hidden="1" x14ac:dyDescent="0.2">
      <c r="A207" s="35" t="s">
        <v>84</v>
      </c>
      <c r="B207" t="s">
        <v>11</v>
      </c>
      <c r="C207" s="11" t="s">
        <v>135</v>
      </c>
      <c r="D207" s="11">
        <v>-0.60407465979999997</v>
      </c>
      <c r="E207" s="11">
        <v>0.25530769279911197</v>
      </c>
      <c r="F207" s="11">
        <v>-2.3660652492571601</v>
      </c>
      <c r="G207" s="11">
        <v>-1.11041725281332</v>
      </c>
      <c r="H207" s="11">
        <v>-9.7732066786685196E-2</v>
      </c>
      <c r="I207" s="11">
        <v>1.98488275730755E-2</v>
      </c>
      <c r="J207" s="11" t="s">
        <v>61</v>
      </c>
    </row>
    <row r="208" spans="1:10" hidden="1" x14ac:dyDescent="0.2">
      <c r="A208" s="35" t="s">
        <v>84</v>
      </c>
      <c r="B208" t="s">
        <v>11</v>
      </c>
      <c r="C208" s="20" t="s">
        <v>143</v>
      </c>
      <c r="D208" s="20">
        <v>-0.57445976482857197</v>
      </c>
      <c r="E208" s="20">
        <v>0.30296356762738003</v>
      </c>
      <c r="F208" s="20">
        <v>-1.89613480369069</v>
      </c>
      <c r="G208" s="20">
        <v>-1.1753165456765999</v>
      </c>
      <c r="H208" s="20">
        <v>2.6397016019459301E-2</v>
      </c>
      <c r="I208" s="20">
        <v>6.0744635023673103E-2</v>
      </c>
      <c r="J208" s="20" t="s">
        <v>200</v>
      </c>
    </row>
    <row r="209" spans="1:10" hidden="1" x14ac:dyDescent="0.2">
      <c r="A209" s="35" t="s">
        <v>84</v>
      </c>
      <c r="B209" t="s">
        <v>11</v>
      </c>
      <c r="C209" s="11" t="s">
        <v>88</v>
      </c>
      <c r="D209" s="11">
        <v>-0.71288268665000099</v>
      </c>
      <c r="E209" s="11">
        <v>0.32768236909069698</v>
      </c>
      <c r="F209" s="11">
        <v>-2.1755295795383098</v>
      </c>
      <c r="G209" s="11">
        <v>-1.362763380142</v>
      </c>
      <c r="H209" s="11">
        <v>-6.3001993158000605E-2</v>
      </c>
      <c r="I209" s="11">
        <v>3.1877287164648202E-2</v>
      </c>
      <c r="J209" s="11" t="s">
        <v>61</v>
      </c>
    </row>
    <row r="210" spans="1:10" hidden="1" x14ac:dyDescent="0.2">
      <c r="A210" s="35" t="s">
        <v>84</v>
      </c>
      <c r="B210" t="s">
        <v>13</v>
      </c>
      <c r="C210" s="20" t="s">
        <v>135</v>
      </c>
      <c r="D210" s="20">
        <v>-0.42818845014222201</v>
      </c>
      <c r="E210" s="20">
        <v>0.25134686628324399</v>
      </c>
      <c r="F210" s="20">
        <v>-1.70357584510202</v>
      </c>
      <c r="G210" s="20">
        <v>-0.92667567794294903</v>
      </c>
      <c r="H210" s="20">
        <v>7.0298777658504299E-2</v>
      </c>
      <c r="I210" s="20">
        <v>9.1475784632383594E-2</v>
      </c>
      <c r="J210" s="20" t="s">
        <v>200</v>
      </c>
    </row>
    <row r="211" spans="1:10" hidden="1" x14ac:dyDescent="0.2">
      <c r="A211" s="35" t="s">
        <v>84</v>
      </c>
      <c r="B211" t="s">
        <v>13</v>
      </c>
      <c r="C211" s="11" t="s">
        <v>143</v>
      </c>
      <c r="D211" s="11">
        <v>-0.69372638776761897</v>
      </c>
      <c r="E211" s="11">
        <v>0.29826341104829601</v>
      </c>
      <c r="F211" s="11">
        <v>-2.3258849797546501</v>
      </c>
      <c r="G211" s="11">
        <v>-1.2852615165975301</v>
      </c>
      <c r="H211" s="11">
        <v>-0.102191258937706</v>
      </c>
      <c r="I211" s="11">
        <v>2.1984140401801799E-2</v>
      </c>
      <c r="J211" s="11" t="s">
        <v>61</v>
      </c>
    </row>
    <row r="212" spans="1:10" hidden="1" x14ac:dyDescent="0.2">
      <c r="A212" s="35" t="s">
        <v>84</v>
      </c>
      <c r="B212" t="s">
        <v>13</v>
      </c>
      <c r="C212" s="20" t="s">
        <v>88</v>
      </c>
      <c r="D212" s="20">
        <v>-0.56901171634500003</v>
      </c>
      <c r="E212" s="20">
        <v>0.32259872667457101</v>
      </c>
      <c r="F212" s="20">
        <v>-1.7638374528334799</v>
      </c>
      <c r="G212" s="20">
        <v>-1.20881020410825</v>
      </c>
      <c r="H212" s="20">
        <v>7.07867714182491E-2</v>
      </c>
      <c r="I212" s="20">
        <v>8.0724409223139296E-2</v>
      </c>
      <c r="J212" s="20" t="s">
        <v>200</v>
      </c>
    </row>
    <row r="213" spans="1:10" hidden="1" x14ac:dyDescent="0.2">
      <c r="A213" s="35" t="s">
        <v>84</v>
      </c>
      <c r="B213" t="s">
        <v>17</v>
      </c>
      <c r="C213" s="11" t="s">
        <v>135</v>
      </c>
      <c r="D213" s="11">
        <v>-0.59425804388000003</v>
      </c>
      <c r="E213" s="11">
        <v>0.28656257755192499</v>
      </c>
      <c r="F213" s="11">
        <v>-2.0737461567964899</v>
      </c>
      <c r="G213" s="11">
        <v>-1.1625873291726001</v>
      </c>
      <c r="H213" s="11">
        <v>-2.5928758587404802E-2</v>
      </c>
      <c r="I213" s="11">
        <v>4.0597453768871999E-2</v>
      </c>
      <c r="J213" s="11" t="s">
        <v>61</v>
      </c>
    </row>
    <row r="214" spans="1:10" hidden="1" x14ac:dyDescent="0.2">
      <c r="A214" s="35" t="s">
        <v>84</v>
      </c>
      <c r="B214" t="s">
        <v>17</v>
      </c>
      <c r="C214" s="20" t="s">
        <v>143</v>
      </c>
      <c r="D214" s="20">
        <v>-0.65674305525142895</v>
      </c>
      <c r="E214" s="20">
        <v>0.34005250641601897</v>
      </c>
      <c r="F214" s="20">
        <v>-1.93129896960081</v>
      </c>
      <c r="G214" s="20">
        <v>-1.33115699856666</v>
      </c>
      <c r="H214" s="20">
        <v>1.7670888063806501E-2</v>
      </c>
      <c r="I214" s="20">
        <v>5.6194672290190401E-2</v>
      </c>
      <c r="J214" s="20" t="s">
        <v>200</v>
      </c>
    </row>
    <row r="215" spans="1:10" hidden="1" x14ac:dyDescent="0.2">
      <c r="A215" s="35" t="s">
        <v>84</v>
      </c>
      <c r="B215" t="s">
        <v>17</v>
      </c>
      <c r="C215" t="s">
        <v>88</v>
      </c>
      <c r="D215">
        <v>-0.58396814911750095</v>
      </c>
      <c r="E215">
        <v>0.36779739488240698</v>
      </c>
      <c r="F215">
        <v>-1.5877441146754401</v>
      </c>
      <c r="G215">
        <v>-1.3134075349288601</v>
      </c>
      <c r="H215">
        <v>0.145471236693862</v>
      </c>
      <c r="I215">
        <v>0.11540938479179901</v>
      </c>
    </row>
    <row r="216" spans="1:10" hidden="1" x14ac:dyDescent="0.2">
      <c r="A216" s="35" t="s">
        <v>84</v>
      </c>
      <c r="B216" t="s">
        <v>26</v>
      </c>
      <c r="C216" t="s">
        <v>135</v>
      </c>
      <c r="D216">
        <v>-0.46845398028444502</v>
      </c>
      <c r="E216">
        <v>0.296685685518422</v>
      </c>
      <c r="F216">
        <v>-1.5789571359530801</v>
      </c>
      <c r="G216">
        <v>-1.0568600626406699</v>
      </c>
      <c r="H216">
        <v>0.11995210207177499</v>
      </c>
      <c r="I216">
        <v>0.11741218310423</v>
      </c>
    </row>
    <row r="217" spans="1:10" hidden="1" x14ac:dyDescent="0.2">
      <c r="A217" s="35" t="s">
        <v>84</v>
      </c>
      <c r="B217" t="s">
        <v>26</v>
      </c>
      <c r="C217" t="s">
        <v>143</v>
      </c>
      <c r="D217">
        <v>-0.405681801649524</v>
      </c>
      <c r="E217">
        <v>0.35206519930193297</v>
      </c>
      <c r="F217">
        <v>-1.1522916847615201</v>
      </c>
      <c r="G217">
        <v>-1.1039200880475699</v>
      </c>
      <c r="H217">
        <v>0.29255648474852097</v>
      </c>
      <c r="I217">
        <v>0.25186865747592702</v>
      </c>
    </row>
    <row r="218" spans="1:10" hidden="1" x14ac:dyDescent="0.2">
      <c r="A218" s="35" t="s">
        <v>84</v>
      </c>
      <c r="B218" t="s">
        <v>26</v>
      </c>
      <c r="C218" t="s">
        <v>88</v>
      </c>
      <c r="D218">
        <v>-0.57825029134000006</v>
      </c>
      <c r="E218">
        <v>0.38079020353871701</v>
      </c>
      <c r="F218">
        <v>-1.51855348684465</v>
      </c>
      <c r="G218">
        <v>-1.33345784869932</v>
      </c>
      <c r="H218">
        <v>0.17695726601932299</v>
      </c>
      <c r="I218">
        <v>0.13193850946321101</v>
      </c>
    </row>
    <row r="219" spans="1:10" hidden="1" x14ac:dyDescent="0.2">
      <c r="A219" s="35" t="s">
        <v>84</v>
      </c>
      <c r="B219" t="s">
        <v>9</v>
      </c>
      <c r="C219" t="s">
        <v>135</v>
      </c>
      <c r="D219">
        <v>-2.98621214666667E-2</v>
      </c>
      <c r="E219">
        <v>0.22473756860003199</v>
      </c>
      <c r="F219">
        <v>-0.13287552078047399</v>
      </c>
      <c r="G219">
        <v>-0.47557608325467399</v>
      </c>
      <c r="H219">
        <v>0.41585184032134098</v>
      </c>
      <c r="I219">
        <v>0.89455107437176595</v>
      </c>
    </row>
    <row r="220" spans="1:10" hidden="1" x14ac:dyDescent="0.2">
      <c r="A220" s="35" t="s">
        <v>84</v>
      </c>
      <c r="B220" t="s">
        <v>9</v>
      </c>
      <c r="C220" t="s">
        <v>143</v>
      </c>
      <c r="D220">
        <v>-0.14474453314285701</v>
      </c>
      <c r="E220">
        <v>0.26668720717531602</v>
      </c>
      <c r="F220">
        <v>-0.54275019291684501</v>
      </c>
      <c r="G220">
        <v>-0.67365570900343197</v>
      </c>
      <c r="H220">
        <v>0.384166642717717</v>
      </c>
      <c r="I220">
        <v>0.58847432890612505</v>
      </c>
    </row>
    <row r="221" spans="1:10" hidden="1" x14ac:dyDescent="0.2">
      <c r="A221" s="35" t="s">
        <v>84</v>
      </c>
      <c r="B221" t="s">
        <v>9</v>
      </c>
      <c r="C221" t="s">
        <v>88</v>
      </c>
      <c r="D221">
        <v>-9.6593074937500106E-2</v>
      </c>
      <c r="E221">
        <v>0.28844621991271802</v>
      </c>
      <c r="F221">
        <v>-0.33487377635501198</v>
      </c>
      <c r="G221">
        <v>-0.66865812058583396</v>
      </c>
      <c r="H221">
        <v>0.47547197071083303</v>
      </c>
      <c r="I221">
        <v>0.73840131017072697</v>
      </c>
    </row>
    <row r="222" spans="1:10" x14ac:dyDescent="0.2">
      <c r="A222" s="1" t="s">
        <v>10</v>
      </c>
      <c r="B222" s="15" t="s">
        <v>18</v>
      </c>
      <c r="C222" s="20" t="s">
        <v>12</v>
      </c>
      <c r="D222" s="20">
        <v>-0.39020540012731703</v>
      </c>
      <c r="E222" s="20">
        <v>0.229402887404769</v>
      </c>
      <c r="F222" s="20">
        <v>-1.7009611541585401</v>
      </c>
      <c r="G222" s="20">
        <v>-0.84506894912617803</v>
      </c>
      <c r="H222" s="20">
        <v>6.46581488715436E-2</v>
      </c>
      <c r="I222" s="20">
        <v>9.1910082649873895E-2</v>
      </c>
      <c r="J222" s="20" t="s">
        <v>200</v>
      </c>
    </row>
    <row r="223" spans="1:10" x14ac:dyDescent="0.2">
      <c r="A223" s="1" t="s">
        <v>10</v>
      </c>
      <c r="B223" s="12" t="s">
        <v>25</v>
      </c>
      <c r="C223" s="20" t="s">
        <v>12</v>
      </c>
      <c r="D223" s="20">
        <v>-0.46884557773219498</v>
      </c>
      <c r="E223" s="20">
        <v>0.23872189364375501</v>
      </c>
      <c r="F223" s="20">
        <v>-1.96398231672816</v>
      </c>
      <c r="G223" s="20">
        <v>-0.94218699463831002</v>
      </c>
      <c r="H223" s="20">
        <v>4.4958391739192104E-3</v>
      </c>
      <c r="I223" s="20">
        <v>5.2175714377382297E-2</v>
      </c>
      <c r="J223" s="20" t="s">
        <v>200</v>
      </c>
    </row>
    <row r="224" spans="1:10" x14ac:dyDescent="0.2">
      <c r="A224" s="1" t="s">
        <v>10</v>
      </c>
      <c r="B224" s="34" t="s">
        <v>14</v>
      </c>
      <c r="C224" t="s">
        <v>12</v>
      </c>
      <c r="D224">
        <v>-0.301015064041464</v>
      </c>
      <c r="E224">
        <v>0.22920124320471599</v>
      </c>
      <c r="F224">
        <v>-1.3133221261483501</v>
      </c>
      <c r="G224">
        <v>-0.75547878984058903</v>
      </c>
      <c r="H224">
        <v>0.153448661757661</v>
      </c>
      <c r="I224">
        <v>0.19193714216093899</v>
      </c>
    </row>
    <row r="225" spans="1:10" x14ac:dyDescent="0.2">
      <c r="A225" s="1" t="s">
        <v>10</v>
      </c>
      <c r="B225" s="3" t="s">
        <v>7</v>
      </c>
      <c r="C225" t="s">
        <v>12</v>
      </c>
      <c r="D225">
        <v>-0.31648935215951202</v>
      </c>
      <c r="E225">
        <v>0.206361393213887</v>
      </c>
      <c r="F225">
        <v>-1.53366551383709</v>
      </c>
      <c r="G225">
        <v>-0.72566587454563303</v>
      </c>
      <c r="H225">
        <v>9.2687170226607898E-2</v>
      </c>
      <c r="I225">
        <v>0.128119642136579</v>
      </c>
    </row>
    <row r="226" spans="1:10" x14ac:dyDescent="0.2">
      <c r="A226" s="1" t="s">
        <v>10</v>
      </c>
      <c r="B226" s="9" t="s">
        <v>21</v>
      </c>
      <c r="C226" s="11" t="s">
        <v>12</v>
      </c>
      <c r="D226" s="11">
        <v>-0.54720705988097595</v>
      </c>
      <c r="E226" s="11">
        <v>0.25707156396108699</v>
      </c>
      <c r="F226" s="11">
        <v>-2.1286176170142501</v>
      </c>
      <c r="G226" s="11">
        <v>-1.0569324833614</v>
      </c>
      <c r="H226" s="11">
        <v>-3.7481636400552701E-2</v>
      </c>
      <c r="I226" s="11">
        <v>3.5624772451653602E-2</v>
      </c>
      <c r="J226" s="11" t="s">
        <v>61</v>
      </c>
    </row>
    <row r="227" spans="1:10" x14ac:dyDescent="0.2">
      <c r="A227" s="1" t="s">
        <v>10</v>
      </c>
      <c r="B227" s="13" t="s">
        <v>11</v>
      </c>
      <c r="C227" s="11" t="s">
        <v>12</v>
      </c>
      <c r="D227" s="11">
        <v>-0.61772119193658503</v>
      </c>
      <c r="E227" s="11">
        <v>0.23180204999979001</v>
      </c>
      <c r="F227" s="11">
        <v>-2.6648650947528099</v>
      </c>
      <c r="G227" s="11">
        <v>-1.07734183717317</v>
      </c>
      <c r="H227" s="11">
        <v>-0.15810054669999801</v>
      </c>
      <c r="I227" s="11">
        <v>8.9178868475417901E-3</v>
      </c>
      <c r="J227" s="11" t="s">
        <v>61</v>
      </c>
    </row>
    <row r="228" spans="1:10" x14ac:dyDescent="0.2">
      <c r="A228" s="1" t="s">
        <v>10</v>
      </c>
      <c r="B228" s="14" t="s">
        <v>13</v>
      </c>
      <c r="C228" s="11" t="s">
        <v>12</v>
      </c>
      <c r="D228" s="11">
        <v>-0.52366977879317</v>
      </c>
      <c r="E228" s="11">
        <v>0.22914476068985301</v>
      </c>
      <c r="F228" s="11">
        <v>-2.28532294265265</v>
      </c>
      <c r="G228" s="11">
        <v>-0.97802151019912198</v>
      </c>
      <c r="H228" s="11">
        <v>-6.9318047387219306E-2</v>
      </c>
      <c r="I228" s="11">
        <v>2.43033957370478E-2</v>
      </c>
      <c r="J228" s="11" t="s">
        <v>61</v>
      </c>
    </row>
    <row r="229" spans="1:10" x14ac:dyDescent="0.2">
      <c r="A229" s="1" t="s">
        <v>10</v>
      </c>
      <c r="B229" s="127" t="s">
        <v>17</v>
      </c>
      <c r="C229" s="11" t="s">
        <v>12</v>
      </c>
      <c r="D229" s="11">
        <v>-0.60825251854585405</v>
      </c>
      <c r="E229" s="11">
        <v>0.26001214840498199</v>
      </c>
      <c r="F229" s="11">
        <v>-2.3393234596041599</v>
      </c>
      <c r="G229" s="11">
        <v>-1.12380857777552</v>
      </c>
      <c r="H229" s="11">
        <v>-9.2696459316190499E-2</v>
      </c>
      <c r="I229" s="11">
        <v>2.1211129463681699E-2</v>
      </c>
      <c r="J229" s="11" t="s">
        <v>61</v>
      </c>
    </row>
    <row r="230" spans="1:10" x14ac:dyDescent="0.2">
      <c r="A230" s="1" t="s">
        <v>10</v>
      </c>
      <c r="B230" s="53" t="s">
        <v>26</v>
      </c>
      <c r="C230" s="20" t="s">
        <v>12</v>
      </c>
      <c r="D230" s="20">
        <v>-0.47380184888878102</v>
      </c>
      <c r="E230" s="20">
        <v>0.26938266661091498</v>
      </c>
      <c r="F230" s="20">
        <v>-1.7588431165584999</v>
      </c>
      <c r="G230" s="20">
        <v>-1.0079379147405401</v>
      </c>
      <c r="H230" s="20">
        <v>6.03342169629816E-2</v>
      </c>
      <c r="I230" s="20">
        <v>8.1517414325397705E-2</v>
      </c>
      <c r="J230" s="20" t="s">
        <v>200</v>
      </c>
    </row>
    <row r="231" spans="1:10" x14ac:dyDescent="0.2">
      <c r="A231" s="1" t="s">
        <v>10</v>
      </c>
      <c r="B231" s="5" t="s">
        <v>9</v>
      </c>
      <c r="C231" t="s">
        <v>12</v>
      </c>
      <c r="D231">
        <v>-7.2303900743902097E-2</v>
      </c>
      <c r="E231">
        <v>0.20410915151419501</v>
      </c>
      <c r="F231">
        <v>-0.35424134688479902</v>
      </c>
      <c r="G231">
        <v>-0.47701464388759601</v>
      </c>
      <c r="H231">
        <v>0.33240684239979201</v>
      </c>
      <c r="I231">
        <v>0.72386842132724105</v>
      </c>
    </row>
    <row r="232" spans="1:10" hidden="1" x14ac:dyDescent="0.2">
      <c r="A232" s="70" t="s">
        <v>275</v>
      </c>
      <c r="B232" s="15" t="s">
        <v>18</v>
      </c>
      <c r="C232" t="s">
        <v>275</v>
      </c>
      <c r="D232">
        <v>0.12215557152809201</v>
      </c>
      <c r="E232">
        <v>9.1981848776815506E-2</v>
      </c>
      <c r="F232">
        <v>1.3280399682386299</v>
      </c>
      <c r="G232">
        <v>-6.0227443138483702E-2</v>
      </c>
      <c r="H232">
        <v>0.304538586194668</v>
      </c>
      <c r="I232">
        <v>0.187044548467063</v>
      </c>
    </row>
    <row r="233" spans="1:10" hidden="1" x14ac:dyDescent="0.2">
      <c r="A233" s="70" t="s">
        <v>275</v>
      </c>
      <c r="B233" s="12" t="s">
        <v>25</v>
      </c>
      <c r="C233" t="s">
        <v>275</v>
      </c>
      <c r="D233">
        <v>0.138272032311656</v>
      </c>
      <c r="E233">
        <v>9.6005492623361499E-2</v>
      </c>
      <c r="F233">
        <v>1.4402512661865099</v>
      </c>
      <c r="G233">
        <v>-5.2089124830162897E-2</v>
      </c>
      <c r="H233">
        <v>0.32863318945347503</v>
      </c>
      <c r="I233">
        <v>0.15277142826682499</v>
      </c>
    </row>
    <row r="234" spans="1:10" hidden="1" x14ac:dyDescent="0.2">
      <c r="A234" s="70" t="s">
        <v>275</v>
      </c>
      <c r="B234" s="34" t="s">
        <v>14</v>
      </c>
      <c r="C234" t="s">
        <v>275</v>
      </c>
      <c r="D234">
        <v>8.7658812883439297E-2</v>
      </c>
      <c r="E234">
        <v>9.1768590240566605E-2</v>
      </c>
      <c r="F234">
        <v>0.955215860390208</v>
      </c>
      <c r="G234">
        <v>-9.4301349500195406E-2</v>
      </c>
      <c r="H234">
        <v>0.26961897526707401</v>
      </c>
      <c r="I234">
        <v>0.34166257332238098</v>
      </c>
    </row>
    <row r="235" spans="1:10" hidden="1" x14ac:dyDescent="0.2">
      <c r="A235" s="70" t="s">
        <v>275</v>
      </c>
      <c r="B235" s="3" t="s">
        <v>7</v>
      </c>
      <c r="C235" t="s">
        <v>275</v>
      </c>
      <c r="D235">
        <v>0.131052717047726</v>
      </c>
      <c r="E235">
        <v>8.2237053441500702E-2</v>
      </c>
      <c r="F235">
        <v>1.5935969439974</v>
      </c>
      <c r="G235">
        <v>-3.2008168587981098E-2</v>
      </c>
      <c r="H235">
        <v>0.29411360268343301</v>
      </c>
      <c r="I235">
        <v>0.114032265662955</v>
      </c>
    </row>
    <row r="236" spans="1:10" hidden="1" x14ac:dyDescent="0.2">
      <c r="A236" s="70" t="s">
        <v>275</v>
      </c>
      <c r="B236" s="9" t="s">
        <v>21</v>
      </c>
      <c r="C236" t="s">
        <v>275</v>
      </c>
      <c r="D236">
        <v>0.112233708300326</v>
      </c>
      <c r="E236">
        <v>0.104149553836187</v>
      </c>
      <c r="F236">
        <v>1.07762063461985</v>
      </c>
      <c r="G236">
        <v>-9.4275617805004597E-2</v>
      </c>
      <c r="H236">
        <v>0.31874303440565599</v>
      </c>
      <c r="I236">
        <v>0.28367263112302699</v>
      </c>
    </row>
    <row r="237" spans="1:10" hidden="1" x14ac:dyDescent="0.2">
      <c r="A237" s="70" t="s">
        <v>275</v>
      </c>
      <c r="B237" s="13" t="s">
        <v>11</v>
      </c>
      <c r="C237" s="11" t="s">
        <v>275</v>
      </c>
      <c r="D237" s="11">
        <v>0.19823939245429201</v>
      </c>
      <c r="E237" s="11">
        <v>9.3551999163155694E-2</v>
      </c>
      <c r="F237" s="11">
        <v>2.11902892752255</v>
      </c>
      <c r="G237" s="11">
        <v>1.27430596195253E-2</v>
      </c>
      <c r="H237" s="11">
        <v>0.38373572528905903</v>
      </c>
      <c r="I237" s="11">
        <v>3.6446110588913602E-2</v>
      </c>
      <c r="J237" s="11" t="s">
        <v>61</v>
      </c>
    </row>
    <row r="238" spans="1:10" hidden="1" x14ac:dyDescent="0.2">
      <c r="A238" s="70" t="s">
        <v>275</v>
      </c>
      <c r="B238" s="14" t="s">
        <v>13</v>
      </c>
      <c r="C238" s="11" t="s">
        <v>275</v>
      </c>
      <c r="D238" s="11">
        <v>0.19365647543915901</v>
      </c>
      <c r="E238" s="11">
        <v>9.1714629700868605E-2</v>
      </c>
      <c r="F238" s="11">
        <v>2.1115112831047602</v>
      </c>
      <c r="G238" s="11">
        <v>1.18033068378196E-2</v>
      </c>
      <c r="H238" s="11">
        <v>0.37550964404049803</v>
      </c>
      <c r="I238" s="11">
        <v>3.7101447244620299E-2</v>
      </c>
      <c r="J238" s="11" t="s">
        <v>61</v>
      </c>
    </row>
    <row r="239" spans="1:10" hidden="1" x14ac:dyDescent="0.2">
      <c r="A239" s="70" t="s">
        <v>275</v>
      </c>
      <c r="B239" s="127" t="s">
        <v>17</v>
      </c>
      <c r="C239" t="s">
        <v>275</v>
      </c>
      <c r="D239">
        <v>0.14014459707356799</v>
      </c>
      <c r="E239">
        <v>0.105493172437939</v>
      </c>
      <c r="F239">
        <v>1.32847078000251</v>
      </c>
      <c r="G239">
        <v>-6.9028876517471693E-2</v>
      </c>
      <c r="H239">
        <v>0.34931807066460802</v>
      </c>
      <c r="I239">
        <v>0.186902755872106</v>
      </c>
    </row>
    <row r="240" spans="1:10" hidden="1" x14ac:dyDescent="0.2">
      <c r="A240" s="70" t="s">
        <v>275</v>
      </c>
      <c r="B240" s="53" t="s">
        <v>26</v>
      </c>
      <c r="C240" t="s">
        <v>275</v>
      </c>
      <c r="D240">
        <v>0.14047952075376399</v>
      </c>
      <c r="E240">
        <v>0.108151171425166</v>
      </c>
      <c r="F240">
        <v>1.29891816151956</v>
      </c>
      <c r="G240">
        <v>-7.3964273826882795E-2</v>
      </c>
      <c r="H240">
        <v>0.35492331533441002</v>
      </c>
      <c r="I240">
        <v>0.196817210936825</v>
      </c>
    </row>
    <row r="241" spans="1:10" hidden="1" x14ac:dyDescent="0.2">
      <c r="A241" s="70" t="s">
        <v>275</v>
      </c>
      <c r="B241" s="5" t="s">
        <v>9</v>
      </c>
      <c r="C241" t="s">
        <v>275</v>
      </c>
      <c r="D241">
        <v>6.1456100604997801E-2</v>
      </c>
      <c r="E241">
        <v>8.1238032547777395E-2</v>
      </c>
      <c r="F241">
        <v>0.756494202008824</v>
      </c>
      <c r="G241">
        <v>-9.96239111437945E-2</v>
      </c>
      <c r="H241">
        <v>0.22253611235379001</v>
      </c>
      <c r="I241">
        <v>0.45104697722527998</v>
      </c>
    </row>
    <row r="242" spans="1:10" hidden="1" x14ac:dyDescent="0.2">
      <c r="A242" s="70" t="s">
        <v>228</v>
      </c>
      <c r="B242" t="s">
        <v>18</v>
      </c>
      <c r="C242" t="s">
        <v>230</v>
      </c>
      <c r="D242">
        <v>-9.5249068711196899E-2</v>
      </c>
      <c r="E242">
        <v>0.20667581205798399</v>
      </c>
      <c r="F242">
        <v>-0.46086219651322402</v>
      </c>
      <c r="G242">
        <v>-0.50504902558376297</v>
      </c>
      <c r="H242">
        <v>0.314550888161369</v>
      </c>
      <c r="I242">
        <v>0.64585062495466705</v>
      </c>
    </row>
    <row r="243" spans="1:10" hidden="1" x14ac:dyDescent="0.2">
      <c r="A243" s="70" t="s">
        <v>228</v>
      </c>
      <c r="B243" t="s">
        <v>25</v>
      </c>
      <c r="C243" t="s">
        <v>230</v>
      </c>
      <c r="D243">
        <v>-0.14113020684671801</v>
      </c>
      <c r="E243">
        <v>0.21580954454089399</v>
      </c>
      <c r="F243">
        <v>-0.65395720632724597</v>
      </c>
      <c r="G243">
        <v>-0.569040667993155</v>
      </c>
      <c r="H243">
        <v>0.28678025429971898</v>
      </c>
      <c r="I243">
        <v>0.51456908792423495</v>
      </c>
    </row>
    <row r="244" spans="1:10" hidden="1" x14ac:dyDescent="0.2">
      <c r="A244" s="70" t="s">
        <v>228</v>
      </c>
      <c r="B244" t="s">
        <v>14</v>
      </c>
      <c r="C244" t="s">
        <v>230</v>
      </c>
      <c r="D244">
        <v>-1.7413374010038701E-2</v>
      </c>
      <c r="E244">
        <v>0.20557354969599101</v>
      </c>
      <c r="F244">
        <v>-8.4706296290501304E-2</v>
      </c>
      <c r="G244">
        <v>-0.42502774823551398</v>
      </c>
      <c r="H244">
        <v>0.39020100021543702</v>
      </c>
      <c r="I244">
        <v>0.93265618767508396</v>
      </c>
    </row>
    <row r="245" spans="1:10" hidden="1" x14ac:dyDescent="0.2">
      <c r="A245" s="70" t="s">
        <v>228</v>
      </c>
      <c r="B245" t="s">
        <v>7</v>
      </c>
      <c r="C245" t="s">
        <v>230</v>
      </c>
      <c r="D245">
        <v>-0.21773188428417001</v>
      </c>
      <c r="E245">
        <v>0.184417622256559</v>
      </c>
      <c r="F245">
        <v>-1.1806457626986699</v>
      </c>
      <c r="G245">
        <v>-0.58339796245144004</v>
      </c>
      <c r="H245">
        <v>0.1479341938831</v>
      </c>
      <c r="I245">
        <v>0.24041106929825201</v>
      </c>
    </row>
    <row r="246" spans="1:10" hidden="1" x14ac:dyDescent="0.2">
      <c r="A246" s="70" t="s">
        <v>228</v>
      </c>
      <c r="B246" t="s">
        <v>21</v>
      </c>
      <c r="C246" t="s">
        <v>230</v>
      </c>
      <c r="D246">
        <v>-0.17543862374633201</v>
      </c>
      <c r="E246">
        <v>0.23296210954285199</v>
      </c>
      <c r="F246">
        <v>-0.75307793224657804</v>
      </c>
      <c r="G246">
        <v>-0.63735945276341499</v>
      </c>
      <c r="H246">
        <v>0.28648220527075102</v>
      </c>
      <c r="I246">
        <v>0.45308828406830198</v>
      </c>
    </row>
    <row r="247" spans="1:10" hidden="1" x14ac:dyDescent="0.2">
      <c r="A247" s="70" t="s">
        <v>228</v>
      </c>
      <c r="B247" t="s">
        <v>11</v>
      </c>
      <c r="C247" t="s">
        <v>230</v>
      </c>
      <c r="D247">
        <v>-0.245984615744788</v>
      </c>
      <c r="E247">
        <v>0.21172971578417699</v>
      </c>
      <c r="F247">
        <v>-1.16178598187667</v>
      </c>
      <c r="G247">
        <v>-0.66580553011793797</v>
      </c>
      <c r="H247">
        <v>0.173836298628363</v>
      </c>
      <c r="I247">
        <v>0.247956510906059</v>
      </c>
    </row>
    <row r="248" spans="1:10" hidden="1" x14ac:dyDescent="0.2">
      <c r="A248" s="70" t="s">
        <v>228</v>
      </c>
      <c r="B248" t="s">
        <v>13</v>
      </c>
      <c r="C248" s="20" t="s">
        <v>230</v>
      </c>
      <c r="D248" s="20">
        <v>-0.364531715381467</v>
      </c>
      <c r="E248" s="20">
        <v>0.20581904744339799</v>
      </c>
      <c r="F248" s="20">
        <v>-1.77112721057421</v>
      </c>
      <c r="G248" s="20">
        <v>-0.77263286629018402</v>
      </c>
      <c r="H248" s="20">
        <v>4.3569435527250101E-2</v>
      </c>
      <c r="I248" s="20">
        <v>7.9441088833865497E-2</v>
      </c>
      <c r="J248" s="20" t="s">
        <v>200</v>
      </c>
    </row>
    <row r="249" spans="1:10" hidden="1" x14ac:dyDescent="0.2">
      <c r="A249" s="70" t="s">
        <v>228</v>
      </c>
      <c r="B249" t="s">
        <v>17</v>
      </c>
      <c r="C249" t="s">
        <v>230</v>
      </c>
      <c r="D249">
        <v>-0.24324979736332</v>
      </c>
      <c r="E249">
        <v>0.23608507251418101</v>
      </c>
      <c r="F249">
        <v>-1.0303480638264799</v>
      </c>
      <c r="G249">
        <v>-0.71136288505945</v>
      </c>
      <c r="H249">
        <v>0.224863290332809</v>
      </c>
      <c r="I249">
        <v>0.30521419235869302</v>
      </c>
    </row>
    <row r="250" spans="1:10" hidden="1" x14ac:dyDescent="0.2">
      <c r="A250" s="70" t="s">
        <v>228</v>
      </c>
      <c r="B250" t="s">
        <v>26</v>
      </c>
      <c r="C250" t="s">
        <v>230</v>
      </c>
      <c r="D250">
        <v>-0.17915702608185299</v>
      </c>
      <c r="E250">
        <v>0.24253609051632899</v>
      </c>
      <c r="F250">
        <v>-0.73868192441154001</v>
      </c>
      <c r="G250">
        <v>-0.66006129080416898</v>
      </c>
      <c r="H250">
        <v>0.30174723864046199</v>
      </c>
      <c r="I250">
        <v>0.461748144483902</v>
      </c>
    </row>
    <row r="251" spans="1:10" hidden="1" x14ac:dyDescent="0.2">
      <c r="A251" s="70" t="s">
        <v>228</v>
      </c>
      <c r="B251" t="s">
        <v>9</v>
      </c>
      <c r="C251" t="s">
        <v>230</v>
      </c>
      <c r="D251">
        <v>-0.104725202860232</v>
      </c>
      <c r="E251">
        <v>0.181409813541937</v>
      </c>
      <c r="F251">
        <v>-0.57728521305172797</v>
      </c>
      <c r="G251">
        <v>-0.46442735196749702</v>
      </c>
      <c r="H251">
        <v>0.25497694624703399</v>
      </c>
      <c r="I251">
        <v>0.56498256328424101</v>
      </c>
    </row>
    <row r="252" spans="1:10" hidden="1" x14ac:dyDescent="0.2">
      <c r="A252" s="56" t="s">
        <v>208</v>
      </c>
      <c r="B252" t="s">
        <v>18</v>
      </c>
      <c r="C252" t="s">
        <v>218</v>
      </c>
      <c r="D252">
        <v>0.21859801165686199</v>
      </c>
      <c r="E252">
        <v>0.28906293587165499</v>
      </c>
      <c r="F252">
        <v>0.75622981894129904</v>
      </c>
      <c r="G252">
        <v>-0.35496556577501298</v>
      </c>
      <c r="H252">
        <v>0.79216158908873702</v>
      </c>
      <c r="I252">
        <v>0.451307180393273</v>
      </c>
    </row>
    <row r="253" spans="1:10" hidden="1" x14ac:dyDescent="0.2">
      <c r="A253" s="56" t="s">
        <v>208</v>
      </c>
      <c r="B253" t="s">
        <v>18</v>
      </c>
      <c r="C253" t="s">
        <v>220</v>
      </c>
      <c r="D253">
        <v>-8.5924831809523997E-2</v>
      </c>
      <c r="E253">
        <v>0.31109427471684697</v>
      </c>
      <c r="F253">
        <v>-0.276201906601243</v>
      </c>
      <c r="G253">
        <v>-0.70320336524417304</v>
      </c>
      <c r="H253">
        <v>0.53135370162512496</v>
      </c>
      <c r="I253">
        <v>0.78296875939610999</v>
      </c>
    </row>
    <row r="254" spans="1:10" hidden="1" x14ac:dyDescent="0.2">
      <c r="A254" s="56" t="s">
        <v>208</v>
      </c>
      <c r="B254" t="s">
        <v>18</v>
      </c>
      <c r="C254" t="s">
        <v>221</v>
      </c>
      <c r="D254">
        <v>-0.40730545832051301</v>
      </c>
      <c r="E254">
        <v>0.32022367180709299</v>
      </c>
      <c r="F254">
        <v>-1.27194050340501</v>
      </c>
      <c r="G254">
        <v>-1.04269869621939</v>
      </c>
      <c r="H254">
        <v>0.22808777957836601</v>
      </c>
      <c r="I254">
        <v>0.206373982666683</v>
      </c>
    </row>
    <row r="255" spans="1:10" hidden="1" x14ac:dyDescent="0.2">
      <c r="A255" s="56" t="s">
        <v>208</v>
      </c>
      <c r="B255" t="s">
        <v>18</v>
      </c>
      <c r="C255" t="s">
        <v>222</v>
      </c>
      <c r="D255">
        <v>4.9333108261904901E-2</v>
      </c>
      <c r="E255">
        <v>0.414374017855618</v>
      </c>
      <c r="F255">
        <v>0.11905454042993199</v>
      </c>
      <c r="G255">
        <v>-0.77287484226418401</v>
      </c>
      <c r="H255">
        <v>0.87154105878799404</v>
      </c>
      <c r="I255">
        <v>0.90547339445526598</v>
      </c>
    </row>
    <row r="256" spans="1:10" hidden="1" x14ac:dyDescent="0.2">
      <c r="A256" s="56" t="s">
        <v>208</v>
      </c>
      <c r="B256" t="s">
        <v>18</v>
      </c>
      <c r="C256" t="s">
        <v>223</v>
      </c>
      <c r="D256">
        <v>0.41334833033333401</v>
      </c>
      <c r="E256">
        <v>0.443487564250164</v>
      </c>
      <c r="F256">
        <v>0.93204040801507304</v>
      </c>
      <c r="G256">
        <v>-0.46662721246961197</v>
      </c>
      <c r="H256">
        <v>1.2933238731362799</v>
      </c>
      <c r="I256">
        <v>0.35358308992369403</v>
      </c>
    </row>
    <row r="257" spans="1:9" hidden="1" x14ac:dyDescent="0.2">
      <c r="A257" s="56" t="s">
        <v>208</v>
      </c>
      <c r="B257" t="s">
        <v>18</v>
      </c>
      <c r="C257" t="s">
        <v>209</v>
      </c>
      <c r="D257">
        <v>-0.86927127916666602</v>
      </c>
      <c r="E257">
        <v>1.03480431658372</v>
      </c>
      <c r="F257">
        <v>-0.84003445408544697</v>
      </c>
      <c r="G257">
        <v>-2.9225475457068701</v>
      </c>
      <c r="H257">
        <v>1.1840049873735401</v>
      </c>
      <c r="I257">
        <v>0.40291319617749699</v>
      </c>
    </row>
    <row r="258" spans="1:9" hidden="1" x14ac:dyDescent="0.2">
      <c r="A258" s="56" t="s">
        <v>208</v>
      </c>
      <c r="B258" t="s">
        <v>25</v>
      </c>
      <c r="C258" t="s">
        <v>218</v>
      </c>
      <c r="D258">
        <v>0.268783860011029</v>
      </c>
      <c r="E258">
        <v>0.30666053740563998</v>
      </c>
      <c r="F258">
        <v>0.87648662682505796</v>
      </c>
      <c r="G258">
        <v>-0.33969717669184202</v>
      </c>
      <c r="H258">
        <v>0.87726489671389996</v>
      </c>
      <c r="I258">
        <v>0.38288738144092499</v>
      </c>
    </row>
    <row r="259" spans="1:9" hidden="1" x14ac:dyDescent="0.2">
      <c r="A259" s="56" t="s">
        <v>208</v>
      </c>
      <c r="B259" t="s">
        <v>25</v>
      </c>
      <c r="C259" t="s">
        <v>220</v>
      </c>
      <c r="D259">
        <v>4.4717906160712797E-3</v>
      </c>
      <c r="E259">
        <v>0.33003310224055898</v>
      </c>
      <c r="F259">
        <v>1.35495215046999E-2</v>
      </c>
      <c r="G259">
        <v>-0.65038548543429797</v>
      </c>
      <c r="H259">
        <v>0.65932906666644098</v>
      </c>
      <c r="I259">
        <v>0.98921664475540205</v>
      </c>
    </row>
    <row r="260" spans="1:9" hidden="1" x14ac:dyDescent="0.2">
      <c r="A260" s="56" t="s">
        <v>208</v>
      </c>
      <c r="B260" t="s">
        <v>25</v>
      </c>
      <c r="C260" t="s">
        <v>221</v>
      </c>
      <c r="D260">
        <v>0.25057716326442298</v>
      </c>
      <c r="E260">
        <v>0.33971827965509699</v>
      </c>
      <c r="F260">
        <v>0.73760282643260899</v>
      </c>
      <c r="G260">
        <v>-0.42349760599099601</v>
      </c>
      <c r="H260">
        <v>0.92465193251984201</v>
      </c>
      <c r="I260">
        <v>0.46250053515788903</v>
      </c>
    </row>
    <row r="261" spans="1:9" hidden="1" x14ac:dyDescent="0.2">
      <c r="A261" s="56" t="s">
        <v>208</v>
      </c>
      <c r="B261" t="s">
        <v>25</v>
      </c>
      <c r="C261" t="s">
        <v>222</v>
      </c>
      <c r="D261">
        <v>-1.5252810812499899E-2</v>
      </c>
      <c r="E261">
        <v>0.43960031963059598</v>
      </c>
      <c r="F261">
        <v>-3.4696996638485397E-2</v>
      </c>
      <c r="G261">
        <v>-0.88751521694633495</v>
      </c>
      <c r="H261">
        <v>0.85700959532133603</v>
      </c>
      <c r="I261">
        <v>0.97239121795156502</v>
      </c>
    </row>
    <row r="262" spans="1:9" hidden="1" x14ac:dyDescent="0.2">
      <c r="A262" s="56" t="s">
        <v>208</v>
      </c>
      <c r="B262" t="s">
        <v>25</v>
      </c>
      <c r="C262" t="s">
        <v>223</v>
      </c>
      <c r="D262">
        <v>0.25678017752083399</v>
      </c>
      <c r="E262">
        <v>0.47048624333511302</v>
      </c>
      <c r="F262">
        <v>0.54577616488977099</v>
      </c>
      <c r="G262">
        <v>-0.67676660199290894</v>
      </c>
      <c r="H262">
        <v>1.19032695703458</v>
      </c>
      <c r="I262">
        <v>0.58644751613832602</v>
      </c>
    </row>
    <row r="263" spans="1:9" hidden="1" x14ac:dyDescent="0.2">
      <c r="A263" s="56" t="s">
        <v>208</v>
      </c>
      <c r="B263" t="s">
        <v>25</v>
      </c>
      <c r="C263" t="s">
        <v>209</v>
      </c>
      <c r="D263">
        <v>-0.46402388781250098</v>
      </c>
      <c r="E263">
        <v>1.0978012344485999</v>
      </c>
      <c r="F263">
        <v>-0.42268479325000102</v>
      </c>
      <c r="G263">
        <v>-2.6422997066779002</v>
      </c>
      <c r="H263">
        <v>1.7142519310529001</v>
      </c>
      <c r="I263">
        <v>0.67344192121851099</v>
      </c>
    </row>
    <row r="264" spans="1:9" hidden="1" x14ac:dyDescent="0.2">
      <c r="A264" s="56" t="s">
        <v>208</v>
      </c>
      <c r="B264" t="s">
        <v>14</v>
      </c>
      <c r="C264" t="s">
        <v>218</v>
      </c>
      <c r="D264">
        <v>-6.4754666894607807E-2</v>
      </c>
      <c r="E264">
        <v>0.29129225046740698</v>
      </c>
      <c r="F264">
        <v>-0.222301371872072</v>
      </c>
      <c r="G264">
        <v>-0.64274168813779398</v>
      </c>
      <c r="H264">
        <v>0.51323235434857795</v>
      </c>
      <c r="I264">
        <v>0.82453724578334597</v>
      </c>
    </row>
    <row r="265" spans="1:9" hidden="1" x14ac:dyDescent="0.2">
      <c r="A265" s="56" t="s">
        <v>208</v>
      </c>
      <c r="B265" t="s">
        <v>14</v>
      </c>
      <c r="C265" t="s">
        <v>220</v>
      </c>
      <c r="D265">
        <v>-0.20659518811309599</v>
      </c>
      <c r="E265">
        <v>0.31349349966483198</v>
      </c>
      <c r="F265">
        <v>-0.65900947973075796</v>
      </c>
      <c r="G265">
        <v>-0.82863430436020602</v>
      </c>
      <c r="H265">
        <v>0.41544392813401498</v>
      </c>
      <c r="I265">
        <v>0.51141959729194197</v>
      </c>
    </row>
    <row r="266" spans="1:9" hidden="1" x14ac:dyDescent="0.2">
      <c r="A266" s="56" t="s">
        <v>208</v>
      </c>
      <c r="B266" t="s">
        <v>14</v>
      </c>
      <c r="C266" t="s">
        <v>221</v>
      </c>
      <c r="D266">
        <v>-0.20362936415705099</v>
      </c>
      <c r="E266">
        <v>0.322693304599385</v>
      </c>
      <c r="F266">
        <v>-0.63103064505739104</v>
      </c>
      <c r="G266">
        <v>-0.84392288930658999</v>
      </c>
      <c r="H266">
        <v>0.436664160992488</v>
      </c>
      <c r="I266">
        <v>0.52947466753669103</v>
      </c>
    </row>
    <row r="267" spans="1:9" hidden="1" x14ac:dyDescent="0.2">
      <c r="A267" s="56" t="s">
        <v>208</v>
      </c>
      <c r="B267" t="s">
        <v>14</v>
      </c>
      <c r="C267" t="s">
        <v>222</v>
      </c>
      <c r="D267">
        <v>0.24380678474404799</v>
      </c>
      <c r="E267">
        <v>0.41756975806119101</v>
      </c>
      <c r="F267">
        <v>0.58387079053823798</v>
      </c>
      <c r="G267">
        <v>-0.58474220767080598</v>
      </c>
      <c r="H267">
        <v>1.0723557771589001</v>
      </c>
      <c r="I267">
        <v>0.56063522576917602</v>
      </c>
    </row>
    <row r="268" spans="1:9" hidden="1" x14ac:dyDescent="0.2">
      <c r="A268" s="56" t="s">
        <v>208</v>
      </c>
      <c r="B268" t="s">
        <v>14</v>
      </c>
      <c r="C268" t="s">
        <v>223</v>
      </c>
      <c r="D268">
        <v>0.15215845345833401</v>
      </c>
      <c r="E268">
        <v>0.44690783429286701</v>
      </c>
      <c r="F268">
        <v>0.34046942519835399</v>
      </c>
      <c r="G268">
        <v>-0.73460364714234605</v>
      </c>
      <c r="H268">
        <v>1.0389205540590101</v>
      </c>
      <c r="I268">
        <v>0.73422444480080995</v>
      </c>
    </row>
    <row r="269" spans="1:9" hidden="1" x14ac:dyDescent="0.2">
      <c r="A269" s="56" t="s">
        <v>208</v>
      </c>
      <c r="B269" t="s">
        <v>14</v>
      </c>
      <c r="C269" t="s">
        <v>209</v>
      </c>
      <c r="D269">
        <v>-0.58632119654166603</v>
      </c>
      <c r="E269">
        <v>1.0427849466833601</v>
      </c>
      <c r="F269">
        <v>-0.56226473004476896</v>
      </c>
      <c r="G269">
        <v>-2.6554327646099201</v>
      </c>
      <c r="H269">
        <v>1.48279037152659</v>
      </c>
      <c r="I269">
        <v>0.57520656975977402</v>
      </c>
    </row>
    <row r="270" spans="1:9" hidden="1" x14ac:dyDescent="0.2">
      <c r="A270" s="56" t="s">
        <v>208</v>
      </c>
      <c r="B270" t="s">
        <v>7</v>
      </c>
      <c r="C270" t="s">
        <v>218</v>
      </c>
      <c r="D270">
        <v>-8.7972176055146706E-2</v>
      </c>
      <c r="E270">
        <v>0.26489859661043103</v>
      </c>
      <c r="F270">
        <v>-0.33209755423703402</v>
      </c>
      <c r="G270">
        <v>-0.61358846190101601</v>
      </c>
      <c r="H270">
        <v>0.43764410979072199</v>
      </c>
      <c r="I270">
        <v>0.74051768695804299</v>
      </c>
    </row>
    <row r="271" spans="1:9" hidden="1" x14ac:dyDescent="0.2">
      <c r="A271" s="56" t="s">
        <v>208</v>
      </c>
      <c r="B271" t="s">
        <v>7</v>
      </c>
      <c r="C271" t="s">
        <v>220</v>
      </c>
      <c r="D271">
        <v>2.4852203133928701E-2</v>
      </c>
      <c r="E271">
        <v>0.28508821629979603</v>
      </c>
      <c r="F271">
        <v>8.7173729789639498E-2</v>
      </c>
      <c r="G271">
        <v>-0.54082466834566201</v>
      </c>
      <c r="H271">
        <v>0.59052907461352</v>
      </c>
      <c r="I271">
        <v>0.93070950033754396</v>
      </c>
    </row>
    <row r="272" spans="1:9" hidden="1" x14ac:dyDescent="0.2">
      <c r="A272" s="56" t="s">
        <v>208</v>
      </c>
      <c r="B272" t="s">
        <v>7</v>
      </c>
      <c r="C272" t="s">
        <v>221</v>
      </c>
      <c r="D272">
        <v>-4.88646638605768E-2</v>
      </c>
      <c r="E272">
        <v>0.29345443755127898</v>
      </c>
      <c r="F272">
        <v>-0.16651533460637499</v>
      </c>
      <c r="G272">
        <v>-0.631141933368083</v>
      </c>
      <c r="H272">
        <v>0.53341260564692905</v>
      </c>
      <c r="I272">
        <v>0.86809103368159501</v>
      </c>
    </row>
    <row r="273" spans="1:10" hidden="1" x14ac:dyDescent="0.2">
      <c r="A273" s="56" t="s">
        <v>208</v>
      </c>
      <c r="B273" t="s">
        <v>7</v>
      </c>
      <c r="C273" t="s">
        <v>222</v>
      </c>
      <c r="D273">
        <v>-2.69051320803569E-2</v>
      </c>
      <c r="E273">
        <v>0.379734245315061</v>
      </c>
      <c r="F273">
        <v>-7.0852530189986093E-2</v>
      </c>
      <c r="G273">
        <v>-0.78038025873237604</v>
      </c>
      <c r="H273">
        <v>0.72656999457166205</v>
      </c>
      <c r="I273">
        <v>0.94365805512352396</v>
      </c>
    </row>
    <row r="274" spans="1:10" hidden="1" x14ac:dyDescent="0.2">
      <c r="A274" s="56" t="s">
        <v>208</v>
      </c>
      <c r="B274" t="s">
        <v>7</v>
      </c>
      <c r="C274" t="s">
        <v>223</v>
      </c>
      <c r="D274">
        <v>4.2380338958332899E-3</v>
      </c>
      <c r="E274">
        <v>0.40641403239676499</v>
      </c>
      <c r="F274">
        <v>1.0427872952220999E-2</v>
      </c>
      <c r="G274">
        <v>-0.80217557854841903</v>
      </c>
      <c r="H274">
        <v>0.81065164634008502</v>
      </c>
      <c r="I274">
        <v>0.99170089693848495</v>
      </c>
    </row>
    <row r="275" spans="1:10" hidden="1" x14ac:dyDescent="0.2">
      <c r="A275" s="56" t="s">
        <v>208</v>
      </c>
      <c r="B275" t="s">
        <v>7</v>
      </c>
      <c r="C275" t="s">
        <v>209</v>
      </c>
      <c r="D275">
        <v>-0.49871321893749998</v>
      </c>
      <c r="E275">
        <v>0.94829940892578402</v>
      </c>
      <c r="F275">
        <v>-0.52590269934095302</v>
      </c>
      <c r="G275">
        <v>-2.3803449813074198</v>
      </c>
      <c r="H275">
        <v>1.38291854343242</v>
      </c>
      <c r="I275">
        <v>0.60013189584256299</v>
      </c>
    </row>
    <row r="276" spans="1:10" hidden="1" x14ac:dyDescent="0.2">
      <c r="A276" s="56" t="s">
        <v>208</v>
      </c>
      <c r="B276" t="s">
        <v>21</v>
      </c>
      <c r="C276" s="20" t="s">
        <v>218</v>
      </c>
      <c r="D276" s="20">
        <v>0.540256873785537</v>
      </c>
      <c r="E276" s="20">
        <v>0.32306795645816</v>
      </c>
      <c r="F276" s="20">
        <v>1.6722700688376899</v>
      </c>
      <c r="G276" s="20">
        <v>-0.10078004193312599</v>
      </c>
      <c r="H276" s="20">
        <v>1.1812937895041999</v>
      </c>
      <c r="I276" s="20">
        <v>9.7628762603113498E-2</v>
      </c>
      <c r="J276" s="20" t="s">
        <v>200</v>
      </c>
    </row>
    <row r="277" spans="1:10" hidden="1" x14ac:dyDescent="0.2">
      <c r="A277" s="56" t="s">
        <v>208</v>
      </c>
      <c r="B277" t="s">
        <v>21</v>
      </c>
      <c r="C277" t="s">
        <v>220</v>
      </c>
      <c r="D277">
        <v>0.50785502837797702</v>
      </c>
      <c r="E277">
        <v>0.34769103584843303</v>
      </c>
      <c r="F277">
        <v>1.4606503361201499</v>
      </c>
      <c r="G277">
        <v>-0.18203941886712499</v>
      </c>
      <c r="H277">
        <v>1.19774947562308</v>
      </c>
      <c r="I277">
        <v>0.147277882444833</v>
      </c>
    </row>
    <row r="278" spans="1:10" hidden="1" x14ac:dyDescent="0.2">
      <c r="A278" s="56" t="s">
        <v>208</v>
      </c>
      <c r="B278" t="s">
        <v>21</v>
      </c>
      <c r="C278" t="s">
        <v>221</v>
      </c>
      <c r="D278">
        <v>5.7445238020833303E-2</v>
      </c>
      <c r="E278">
        <v>0.357894404373516</v>
      </c>
      <c r="F278">
        <v>0.16050890239926899</v>
      </c>
      <c r="G278">
        <v>-0.652694906015021</v>
      </c>
      <c r="H278">
        <v>0.76758538205668803</v>
      </c>
      <c r="I278">
        <v>0.87280727228716104</v>
      </c>
    </row>
    <row r="279" spans="1:10" hidden="1" x14ac:dyDescent="0.2">
      <c r="A279" s="56" t="s">
        <v>208</v>
      </c>
      <c r="B279" t="s">
        <v>21</v>
      </c>
      <c r="C279" t="s">
        <v>222</v>
      </c>
      <c r="D279">
        <v>-0.25561546697916698</v>
      </c>
      <c r="E279">
        <v>0.46312048535136502</v>
      </c>
      <c r="F279">
        <v>-0.551941611447469</v>
      </c>
      <c r="G279">
        <v>-1.1745469846402701</v>
      </c>
      <c r="H279">
        <v>0.66331605068194099</v>
      </c>
      <c r="I279">
        <v>0.582232179600503</v>
      </c>
    </row>
    <row r="280" spans="1:10" hidden="1" x14ac:dyDescent="0.2">
      <c r="A280" s="56" t="s">
        <v>208</v>
      </c>
      <c r="B280" t="s">
        <v>21</v>
      </c>
      <c r="C280" t="s">
        <v>223</v>
      </c>
      <c r="D280">
        <v>-0.22158280281250001</v>
      </c>
      <c r="E280">
        <v>0.49565891477876201</v>
      </c>
      <c r="F280">
        <v>-0.44704694338324202</v>
      </c>
      <c r="G280">
        <v>-1.20507762372145</v>
      </c>
      <c r="H280">
        <v>0.76191201809644604</v>
      </c>
      <c r="I280">
        <v>0.65581766921624696</v>
      </c>
    </row>
    <row r="281" spans="1:10" hidden="1" x14ac:dyDescent="0.2">
      <c r="A281" s="56" t="s">
        <v>208</v>
      </c>
      <c r="B281" t="s">
        <v>21</v>
      </c>
      <c r="C281" t="s">
        <v>209</v>
      </c>
      <c r="D281">
        <v>1.27421324102084</v>
      </c>
      <c r="E281">
        <v>1.1565374678171101</v>
      </c>
      <c r="F281">
        <v>1.1017483449332901</v>
      </c>
      <c r="G281">
        <v>-1.0206080077667099</v>
      </c>
      <c r="H281">
        <v>3.5690344898083799</v>
      </c>
      <c r="I281">
        <v>0.27324244503917899</v>
      </c>
    </row>
    <row r="282" spans="1:10" hidden="1" x14ac:dyDescent="0.2">
      <c r="A282" s="56" t="s">
        <v>208</v>
      </c>
      <c r="B282" t="s">
        <v>11</v>
      </c>
      <c r="C282" t="s">
        <v>218</v>
      </c>
      <c r="D282">
        <v>0.26190719723406802</v>
      </c>
      <c r="E282">
        <v>0.30249421270674198</v>
      </c>
      <c r="F282">
        <v>0.86582548105797397</v>
      </c>
      <c r="G282">
        <v>-0.33830694737543698</v>
      </c>
      <c r="H282">
        <v>0.86212134184357303</v>
      </c>
      <c r="I282">
        <v>0.38867928256393303</v>
      </c>
    </row>
    <row r="283" spans="1:10" hidden="1" x14ac:dyDescent="0.2">
      <c r="A283" s="56" t="s">
        <v>208</v>
      </c>
      <c r="B283" t="s">
        <v>11</v>
      </c>
      <c r="C283" t="s">
        <v>220</v>
      </c>
      <c r="D283">
        <v>9.4548931717262294E-2</v>
      </c>
      <c r="E283">
        <v>0.325549235235852</v>
      </c>
      <c r="F283">
        <v>0.29042897811989599</v>
      </c>
      <c r="G283">
        <v>-0.55141137941370999</v>
      </c>
      <c r="H283">
        <v>0.74050924284823405</v>
      </c>
      <c r="I283">
        <v>0.77209557689027197</v>
      </c>
    </row>
    <row r="284" spans="1:10" hidden="1" x14ac:dyDescent="0.2">
      <c r="A284" s="56" t="s">
        <v>208</v>
      </c>
      <c r="B284" t="s">
        <v>11</v>
      </c>
      <c r="C284" t="s">
        <v>221</v>
      </c>
      <c r="D284">
        <v>-6.2748656046474199E-2</v>
      </c>
      <c r="E284">
        <v>0.33510282873608399</v>
      </c>
      <c r="F284">
        <v>-0.18725194377840701</v>
      </c>
      <c r="G284">
        <v>-0.72766536934917103</v>
      </c>
      <c r="H284">
        <v>0.60216805725622302</v>
      </c>
      <c r="I284">
        <v>0.85184632571349905</v>
      </c>
    </row>
    <row r="285" spans="1:10" hidden="1" x14ac:dyDescent="0.2">
      <c r="A285" s="56" t="s">
        <v>208</v>
      </c>
      <c r="B285" t="s">
        <v>11</v>
      </c>
      <c r="C285" t="s">
        <v>222</v>
      </c>
      <c r="D285">
        <v>-0.11421055178273801</v>
      </c>
      <c r="E285">
        <v>0.43362786003466902</v>
      </c>
      <c r="F285">
        <v>-0.26338379589726202</v>
      </c>
      <c r="G285">
        <v>-0.97462230234367098</v>
      </c>
      <c r="H285">
        <v>0.74620119877819502</v>
      </c>
      <c r="I285">
        <v>0.79280219047082401</v>
      </c>
    </row>
    <row r="286" spans="1:10" hidden="1" x14ac:dyDescent="0.2">
      <c r="A286" s="56" t="s">
        <v>208</v>
      </c>
      <c r="B286" t="s">
        <v>11</v>
      </c>
      <c r="C286" t="s">
        <v>223</v>
      </c>
      <c r="D286">
        <v>0.25757622231249999</v>
      </c>
      <c r="E286">
        <v>0.46409416409113202</v>
      </c>
      <c r="F286">
        <v>0.55500853542713702</v>
      </c>
      <c r="G286">
        <v>-0.66328728520945102</v>
      </c>
      <c r="H286">
        <v>1.17843972983445</v>
      </c>
      <c r="I286">
        <v>0.58014067718790396</v>
      </c>
    </row>
    <row r="287" spans="1:10" hidden="1" x14ac:dyDescent="0.2">
      <c r="A287" s="56" t="s">
        <v>208</v>
      </c>
      <c r="B287" t="s">
        <v>11</v>
      </c>
      <c r="C287" t="s">
        <v>209</v>
      </c>
      <c r="D287">
        <v>9.9577668645833395E-2</v>
      </c>
      <c r="E287">
        <v>1.08288638287931</v>
      </c>
      <c r="F287">
        <v>9.1955786147263602E-2</v>
      </c>
      <c r="G287">
        <v>-2.0491038489053901</v>
      </c>
      <c r="H287">
        <v>2.2482591861970498</v>
      </c>
      <c r="I287">
        <v>0.92691898544849904</v>
      </c>
    </row>
    <row r="288" spans="1:10" hidden="1" x14ac:dyDescent="0.2">
      <c r="A288" s="56" t="s">
        <v>208</v>
      </c>
      <c r="B288" t="s">
        <v>13</v>
      </c>
      <c r="C288" t="s">
        <v>218</v>
      </c>
      <c r="D288">
        <v>0.389888520606617</v>
      </c>
      <c r="E288">
        <v>0.29503645351001001</v>
      </c>
      <c r="F288">
        <v>1.32149270359023</v>
      </c>
      <c r="G288">
        <v>-0.19552781178388401</v>
      </c>
      <c r="H288">
        <v>0.975304852997117</v>
      </c>
      <c r="I288">
        <v>0.189382986392549</v>
      </c>
    </row>
    <row r="289" spans="1:10" hidden="1" x14ac:dyDescent="0.2">
      <c r="A289" s="56" t="s">
        <v>208</v>
      </c>
      <c r="B289" t="s">
        <v>13</v>
      </c>
      <c r="C289" t="s">
        <v>220</v>
      </c>
      <c r="D289">
        <v>0.124968982669643</v>
      </c>
      <c r="E289">
        <v>0.317523072416589</v>
      </c>
      <c r="F289">
        <v>0.39357449434630098</v>
      </c>
      <c r="G289">
        <v>-0.50506568013915498</v>
      </c>
      <c r="H289">
        <v>0.75500364547844001</v>
      </c>
      <c r="I289">
        <v>0.69474156794084496</v>
      </c>
    </row>
    <row r="290" spans="1:10" hidden="1" x14ac:dyDescent="0.2">
      <c r="A290" s="56" t="s">
        <v>208</v>
      </c>
      <c r="B290" t="s">
        <v>13</v>
      </c>
      <c r="C290" t="s">
        <v>221</v>
      </c>
      <c r="D290">
        <v>-2.5310448995192299E-2</v>
      </c>
      <c r="E290">
        <v>0.32684112951051802</v>
      </c>
      <c r="F290">
        <v>-7.7439608145699307E-2</v>
      </c>
      <c r="G290">
        <v>-0.67383415864561402</v>
      </c>
      <c r="H290">
        <v>0.62321326065522897</v>
      </c>
      <c r="I290">
        <v>0.93843012746751997</v>
      </c>
    </row>
    <row r="291" spans="1:10" hidden="1" x14ac:dyDescent="0.2">
      <c r="A291" s="56" t="s">
        <v>208</v>
      </c>
      <c r="B291" t="s">
        <v>13</v>
      </c>
      <c r="C291" t="s">
        <v>222</v>
      </c>
      <c r="D291">
        <v>0.2207969393125</v>
      </c>
      <c r="E291">
        <v>0.42293710290515102</v>
      </c>
      <c r="F291">
        <v>0.52205620598393498</v>
      </c>
      <c r="G291">
        <v>-0.61840202972674896</v>
      </c>
      <c r="H291">
        <v>1.0599959083517501</v>
      </c>
      <c r="I291">
        <v>0.60279734600187196</v>
      </c>
    </row>
    <row r="292" spans="1:10" hidden="1" x14ac:dyDescent="0.2">
      <c r="A292" s="56" t="s">
        <v>208</v>
      </c>
      <c r="B292" t="s">
        <v>13</v>
      </c>
      <c r="C292" t="s">
        <v>223</v>
      </c>
      <c r="D292">
        <v>5.47357681250016E-3</v>
      </c>
      <c r="E292">
        <v>0.45265228396578999</v>
      </c>
      <c r="F292">
        <v>1.20922328382946E-2</v>
      </c>
      <c r="G292">
        <v>-0.89268675820672905</v>
      </c>
      <c r="H292">
        <v>0.90363391183172903</v>
      </c>
      <c r="I292">
        <v>0.99037636401966</v>
      </c>
    </row>
    <row r="293" spans="1:10" hidden="1" x14ac:dyDescent="0.2">
      <c r="A293" s="56" t="s">
        <v>208</v>
      </c>
      <c r="B293" t="s">
        <v>13</v>
      </c>
      <c r="C293" t="s">
        <v>209</v>
      </c>
      <c r="D293">
        <v>-0.4261981506875</v>
      </c>
      <c r="E293">
        <v>1.05618866258684</v>
      </c>
      <c r="F293">
        <v>-0.40352464080010497</v>
      </c>
      <c r="G293">
        <v>-2.5219055990657</v>
      </c>
      <c r="H293">
        <v>1.6695092976907</v>
      </c>
      <c r="I293">
        <v>0.68743255375733303</v>
      </c>
    </row>
    <row r="294" spans="1:10" hidden="1" x14ac:dyDescent="0.2">
      <c r="A294" s="56" t="s">
        <v>208</v>
      </c>
      <c r="B294" t="s">
        <v>17</v>
      </c>
      <c r="C294" t="s">
        <v>218</v>
      </c>
      <c r="D294">
        <v>0.52488451104901901</v>
      </c>
      <c r="E294">
        <v>0.327841621814286</v>
      </c>
      <c r="F294">
        <v>1.6010307298514801</v>
      </c>
      <c r="G294">
        <v>-0.12562439239046999</v>
      </c>
      <c r="H294">
        <v>1.1753934144885101</v>
      </c>
      <c r="I294">
        <v>0.11255643773459501</v>
      </c>
    </row>
    <row r="295" spans="1:10" hidden="1" x14ac:dyDescent="0.2">
      <c r="A295" s="56" t="s">
        <v>208</v>
      </c>
      <c r="B295" t="s">
        <v>17</v>
      </c>
      <c r="C295" s="20" t="s">
        <v>220</v>
      </c>
      <c r="D295" s="20">
        <v>0.66373102473809598</v>
      </c>
      <c r="E295" s="20">
        <v>0.35282853283408699</v>
      </c>
      <c r="F295" s="20">
        <v>1.8811716257942399</v>
      </c>
      <c r="G295" s="20">
        <v>-3.63573311146657E-2</v>
      </c>
      <c r="H295" s="20">
        <v>1.3638193805908601</v>
      </c>
      <c r="I295" s="20">
        <v>6.2886986312745502E-2</v>
      </c>
      <c r="J295" s="20" t="s">
        <v>200</v>
      </c>
    </row>
    <row r="296" spans="1:10" hidden="1" x14ac:dyDescent="0.2">
      <c r="A296" s="56" t="s">
        <v>208</v>
      </c>
      <c r="B296" t="s">
        <v>17</v>
      </c>
      <c r="C296" t="s">
        <v>221</v>
      </c>
      <c r="D296">
        <v>3.3648224012820603E-2</v>
      </c>
      <c r="E296">
        <v>0.36318266675038402</v>
      </c>
      <c r="F296">
        <v>9.2648210097391798E-2</v>
      </c>
      <c r="G296">
        <v>-0.68698497987565199</v>
      </c>
      <c r="H296">
        <v>0.75428142790129304</v>
      </c>
      <c r="I296">
        <v>0.92637027046135001</v>
      </c>
    </row>
    <row r="297" spans="1:10" hidden="1" x14ac:dyDescent="0.2">
      <c r="A297" s="56" t="s">
        <v>208</v>
      </c>
      <c r="B297" t="s">
        <v>17</v>
      </c>
      <c r="C297" t="s">
        <v>222</v>
      </c>
      <c r="D297">
        <v>-0.18876891226190501</v>
      </c>
      <c r="E297">
        <v>0.46996357261037802</v>
      </c>
      <c r="F297">
        <v>-0.40166711477956002</v>
      </c>
      <c r="G297">
        <v>-1.1212785996635299</v>
      </c>
      <c r="H297">
        <v>0.74374077513972103</v>
      </c>
      <c r="I297">
        <v>0.68879480061433696</v>
      </c>
    </row>
    <row r="298" spans="1:10" hidden="1" x14ac:dyDescent="0.2">
      <c r="A298" s="56" t="s">
        <v>208</v>
      </c>
      <c r="B298" t="s">
        <v>17</v>
      </c>
      <c r="C298" t="s">
        <v>223</v>
      </c>
      <c r="D298">
        <v>-0.20269001583333299</v>
      </c>
      <c r="E298">
        <v>0.50298279120363099</v>
      </c>
      <c r="F298">
        <v>-0.40297604486288502</v>
      </c>
      <c r="G298">
        <v>-1.20071699649583</v>
      </c>
      <c r="H298">
        <v>0.79533696482916205</v>
      </c>
      <c r="I298">
        <v>0.68783476856276904</v>
      </c>
    </row>
    <row r="299" spans="1:10" hidden="1" x14ac:dyDescent="0.2">
      <c r="A299" s="56" t="s">
        <v>208</v>
      </c>
      <c r="B299" t="s">
        <v>17</v>
      </c>
      <c r="C299" t="s">
        <v>209</v>
      </c>
      <c r="D299">
        <v>0.74085186416666704</v>
      </c>
      <c r="E299">
        <v>1.17362651280847</v>
      </c>
      <c r="F299">
        <v>0.63125010902643897</v>
      </c>
      <c r="G299">
        <v>-1.58787775737915</v>
      </c>
      <c r="H299">
        <v>3.0695814857124901</v>
      </c>
      <c r="I299">
        <v>0.52933177479883498</v>
      </c>
    </row>
    <row r="300" spans="1:10" hidden="1" x14ac:dyDescent="0.2">
      <c r="A300" s="56" t="s">
        <v>208</v>
      </c>
      <c r="B300" t="s">
        <v>26</v>
      </c>
      <c r="C300" t="s">
        <v>218</v>
      </c>
      <c r="D300">
        <v>0.52103970497916496</v>
      </c>
      <c r="E300">
        <v>0.339041477744361</v>
      </c>
      <c r="F300">
        <v>1.53680224745844</v>
      </c>
      <c r="G300">
        <v>-0.15169214245210499</v>
      </c>
      <c r="H300">
        <v>1.19377155241044</v>
      </c>
      <c r="I300">
        <v>0.127531737239268</v>
      </c>
    </row>
    <row r="301" spans="1:10" hidden="1" x14ac:dyDescent="0.2">
      <c r="A301" s="56" t="s">
        <v>208</v>
      </c>
      <c r="B301" t="s">
        <v>26</v>
      </c>
      <c r="C301" t="s">
        <v>220</v>
      </c>
      <c r="D301">
        <v>0.52884373376488103</v>
      </c>
      <c r="E301">
        <v>0.36488200156052097</v>
      </c>
      <c r="F301">
        <v>1.4493554943875899</v>
      </c>
      <c r="G301">
        <v>-0.195161319060286</v>
      </c>
      <c r="H301">
        <v>1.2528487865900499</v>
      </c>
      <c r="I301">
        <v>0.150398710543141</v>
      </c>
    </row>
    <row r="302" spans="1:10" hidden="1" x14ac:dyDescent="0.2">
      <c r="A302" s="56" t="s">
        <v>208</v>
      </c>
      <c r="B302" t="s">
        <v>26</v>
      </c>
      <c r="C302" t="s">
        <v>221</v>
      </c>
      <c r="D302">
        <v>-9.0827967943910404E-2</v>
      </c>
      <c r="E302">
        <v>0.37558985751949597</v>
      </c>
      <c r="F302">
        <v>-0.24182753108341201</v>
      </c>
      <c r="G302">
        <v>-0.83607973007802205</v>
      </c>
      <c r="H302">
        <v>0.65442379419020102</v>
      </c>
      <c r="I302">
        <v>0.80941401831769999</v>
      </c>
    </row>
    <row r="303" spans="1:10" hidden="1" x14ac:dyDescent="0.2">
      <c r="A303" s="56" t="s">
        <v>208</v>
      </c>
      <c r="B303" t="s">
        <v>26</v>
      </c>
      <c r="C303" t="s">
        <v>222</v>
      </c>
      <c r="D303">
        <v>-0.15100446916369001</v>
      </c>
      <c r="E303">
        <v>0.48601865517277898</v>
      </c>
      <c r="F303">
        <v>-0.31069685814839498</v>
      </c>
      <c r="G303">
        <v>-1.11537092354475</v>
      </c>
      <c r="H303">
        <v>0.81336198521737102</v>
      </c>
      <c r="I303">
        <v>0.75668428228584295</v>
      </c>
    </row>
    <row r="304" spans="1:10" hidden="1" x14ac:dyDescent="0.2">
      <c r="A304" s="56" t="s">
        <v>208</v>
      </c>
      <c r="B304" t="s">
        <v>26</v>
      </c>
      <c r="C304" t="s">
        <v>223</v>
      </c>
      <c r="D304">
        <v>-0.11087056452083401</v>
      </c>
      <c r="E304">
        <v>0.52016588944970699</v>
      </c>
      <c r="F304">
        <v>-0.21314462706911699</v>
      </c>
      <c r="G304">
        <v>-1.14299254000397</v>
      </c>
      <c r="H304">
        <v>0.92125141096230201</v>
      </c>
      <c r="I304">
        <v>0.83165246110742297</v>
      </c>
    </row>
    <row r="305" spans="1:10" hidden="1" x14ac:dyDescent="0.2">
      <c r="A305" s="56" t="s">
        <v>208</v>
      </c>
      <c r="B305" t="s">
        <v>26</v>
      </c>
      <c r="C305" t="s">
        <v>209</v>
      </c>
      <c r="D305">
        <v>0.25809098497916599</v>
      </c>
      <c r="E305">
        <v>1.2137204087159801</v>
      </c>
      <c r="F305">
        <v>0.21264451279368801</v>
      </c>
      <c r="G305">
        <v>-2.1501936244814801</v>
      </c>
      <c r="H305">
        <v>2.6663755944398102</v>
      </c>
      <c r="I305">
        <v>0.83204148249799603</v>
      </c>
    </row>
    <row r="306" spans="1:10" hidden="1" x14ac:dyDescent="0.2">
      <c r="A306" s="56" t="s">
        <v>208</v>
      </c>
      <c r="B306" t="s">
        <v>9</v>
      </c>
      <c r="C306" t="s">
        <v>218</v>
      </c>
      <c r="D306">
        <v>0.13100848576715701</v>
      </c>
      <c r="E306">
        <v>0.25532602532626902</v>
      </c>
      <c r="F306">
        <v>0.51310275010057205</v>
      </c>
      <c r="G306">
        <v>-0.375613741866408</v>
      </c>
      <c r="H306">
        <v>0.63763071340072197</v>
      </c>
      <c r="I306">
        <v>0.60902254919096899</v>
      </c>
    </row>
    <row r="307" spans="1:10" hidden="1" x14ac:dyDescent="0.2">
      <c r="A307" s="56" t="s">
        <v>208</v>
      </c>
      <c r="B307" t="s">
        <v>9</v>
      </c>
      <c r="C307" t="s">
        <v>220</v>
      </c>
      <c r="D307">
        <v>-0.22307445079166699</v>
      </c>
      <c r="E307">
        <v>0.274786058010835</v>
      </c>
      <c r="F307">
        <v>-0.81181138667111996</v>
      </c>
      <c r="G307">
        <v>-0.76830960515637303</v>
      </c>
      <c r="H307">
        <v>0.32216070357304</v>
      </c>
      <c r="I307">
        <v>0.41884751184907298</v>
      </c>
    </row>
    <row r="308" spans="1:10" hidden="1" x14ac:dyDescent="0.2">
      <c r="A308" s="56" t="s">
        <v>208</v>
      </c>
      <c r="B308" t="s">
        <v>9</v>
      </c>
      <c r="C308" t="s">
        <v>221</v>
      </c>
      <c r="D308">
        <v>9.8233006477564097E-2</v>
      </c>
      <c r="E308">
        <v>0.28284995131368501</v>
      </c>
      <c r="F308">
        <v>0.34729723664905998</v>
      </c>
      <c r="G308">
        <v>-0.46300266167444298</v>
      </c>
      <c r="H308">
        <v>0.65946867462957104</v>
      </c>
      <c r="I308">
        <v>0.72910525376587998</v>
      </c>
    </row>
    <row r="309" spans="1:10" hidden="1" x14ac:dyDescent="0.2">
      <c r="A309" s="56" t="s">
        <v>208</v>
      </c>
      <c r="B309" t="s">
        <v>9</v>
      </c>
      <c r="C309" t="s">
        <v>222</v>
      </c>
      <c r="D309">
        <v>4.2150756565476399E-2</v>
      </c>
      <c r="E309">
        <v>0.36601188823643199</v>
      </c>
      <c r="F309">
        <v>0.115162260899701</v>
      </c>
      <c r="G309">
        <v>-0.68409623655540597</v>
      </c>
      <c r="H309">
        <v>0.76839774968635799</v>
      </c>
      <c r="I309">
        <v>0.90854976903494999</v>
      </c>
    </row>
    <row r="310" spans="1:10" hidden="1" x14ac:dyDescent="0.2">
      <c r="A310" s="56" t="s">
        <v>208</v>
      </c>
      <c r="B310" t="s">
        <v>9</v>
      </c>
      <c r="C310" t="s">
        <v>223</v>
      </c>
      <c r="D310">
        <v>0.42589334420833402</v>
      </c>
      <c r="E310">
        <v>0.391727554832208</v>
      </c>
      <c r="F310">
        <v>1.0872182437887501</v>
      </c>
      <c r="G310">
        <v>-0.35137911049323001</v>
      </c>
      <c r="H310">
        <v>1.2031657989099001</v>
      </c>
      <c r="I310">
        <v>0.27958030993933503</v>
      </c>
    </row>
    <row r="311" spans="1:10" hidden="1" x14ac:dyDescent="0.2">
      <c r="A311" s="56" t="s">
        <v>208</v>
      </c>
      <c r="B311" t="s">
        <v>9</v>
      </c>
      <c r="C311" t="s">
        <v>209</v>
      </c>
      <c r="D311">
        <v>-0.82818353829166602</v>
      </c>
      <c r="E311">
        <v>0.91403096127515004</v>
      </c>
      <c r="F311">
        <v>-0.90607821111035503</v>
      </c>
      <c r="G311">
        <v>-2.6418192659286501</v>
      </c>
      <c r="H311">
        <v>0.98545218934531598</v>
      </c>
      <c r="I311">
        <v>0.36709443457365798</v>
      </c>
    </row>
    <row r="312" spans="1:10" hidden="1" x14ac:dyDescent="0.2">
      <c r="A312" s="58" t="s">
        <v>206</v>
      </c>
      <c r="B312" t="s">
        <v>18</v>
      </c>
      <c r="C312" t="s">
        <v>215</v>
      </c>
      <c r="D312">
        <v>0.20749214865714299</v>
      </c>
      <c r="E312">
        <v>0.60308161395899396</v>
      </c>
      <c r="F312">
        <v>0.34405318261161799</v>
      </c>
      <c r="G312">
        <v>-0.98900459678271602</v>
      </c>
      <c r="H312">
        <v>1.403988894097</v>
      </c>
      <c r="I312">
        <v>0.73152870295620998</v>
      </c>
    </row>
    <row r="313" spans="1:10" hidden="1" x14ac:dyDescent="0.2">
      <c r="A313" s="58" t="s">
        <v>206</v>
      </c>
      <c r="B313" t="s">
        <v>18</v>
      </c>
      <c r="C313" t="s">
        <v>211</v>
      </c>
      <c r="D313">
        <v>0.11314189335555599</v>
      </c>
      <c r="E313">
        <v>0.57448308845421003</v>
      </c>
      <c r="F313">
        <v>0.19694555963343099</v>
      </c>
      <c r="G313">
        <v>-1.0266161920110399</v>
      </c>
      <c r="H313">
        <v>1.25289997872215</v>
      </c>
      <c r="I313">
        <v>0.84426986903867396</v>
      </c>
    </row>
    <row r="314" spans="1:10" hidden="1" x14ac:dyDescent="0.2">
      <c r="A314" s="58" t="s">
        <v>206</v>
      </c>
      <c r="B314" t="s">
        <v>18</v>
      </c>
      <c r="C314" t="s">
        <v>214</v>
      </c>
      <c r="D314">
        <v>-0.22999263866153799</v>
      </c>
      <c r="E314">
        <v>0.54199971952175197</v>
      </c>
      <c r="F314">
        <v>-0.42434088132827502</v>
      </c>
      <c r="G314">
        <v>-1.30530464524045</v>
      </c>
      <c r="H314">
        <v>0.84531936791737095</v>
      </c>
      <c r="I314">
        <v>0.67222874369930496</v>
      </c>
    </row>
    <row r="315" spans="1:10" hidden="1" x14ac:dyDescent="0.2">
      <c r="A315" s="58" t="s">
        <v>206</v>
      </c>
      <c r="B315" t="s">
        <v>18</v>
      </c>
      <c r="C315" t="s">
        <v>210</v>
      </c>
      <c r="D315">
        <v>-0.27896833423448197</v>
      </c>
      <c r="E315">
        <v>0.49874085442800797</v>
      </c>
      <c r="F315">
        <v>-0.55934526269042695</v>
      </c>
      <c r="G315">
        <v>-1.26845598454375</v>
      </c>
      <c r="H315">
        <v>0.71051931607478702</v>
      </c>
      <c r="I315">
        <v>0.577176731964265</v>
      </c>
    </row>
    <row r="316" spans="1:10" hidden="1" x14ac:dyDescent="0.2">
      <c r="A316" s="58" t="s">
        <v>206</v>
      </c>
      <c r="B316" t="s">
        <v>18</v>
      </c>
      <c r="C316" t="s">
        <v>207</v>
      </c>
      <c r="D316">
        <v>-0.154514297366666</v>
      </c>
      <c r="E316">
        <v>0.49155844689029898</v>
      </c>
      <c r="F316">
        <v>-0.314335555302031</v>
      </c>
      <c r="G316">
        <v>-1.1297522556866899</v>
      </c>
      <c r="H316">
        <v>0.82072366095336002</v>
      </c>
      <c r="I316">
        <v>0.75392105348788196</v>
      </c>
    </row>
    <row r="317" spans="1:10" hidden="1" x14ac:dyDescent="0.2">
      <c r="A317" s="58" t="s">
        <v>206</v>
      </c>
      <c r="B317" t="s">
        <v>18</v>
      </c>
      <c r="C317" t="s">
        <v>219</v>
      </c>
      <c r="D317">
        <v>-0.40564929482500001</v>
      </c>
      <c r="E317">
        <v>0.58716636281523205</v>
      </c>
      <c r="F317">
        <v>-0.69085921897853797</v>
      </c>
      <c r="G317">
        <v>-1.57057063528549</v>
      </c>
      <c r="H317">
        <v>0.759272045635486</v>
      </c>
      <c r="I317">
        <v>0.491254578860012</v>
      </c>
    </row>
    <row r="318" spans="1:10" hidden="1" x14ac:dyDescent="0.2">
      <c r="A318" s="58" t="s">
        <v>206</v>
      </c>
      <c r="B318" t="s">
        <v>25</v>
      </c>
      <c r="C318" t="s">
        <v>215</v>
      </c>
      <c r="D318">
        <v>0.12212550354285499</v>
      </c>
      <c r="E318">
        <v>0.61731100856552001</v>
      </c>
      <c r="F318">
        <v>0.19783464388014799</v>
      </c>
      <c r="G318">
        <v>-1.10260195552218</v>
      </c>
      <c r="H318">
        <v>1.34685296260789</v>
      </c>
      <c r="I318">
        <v>0.84357603815617399</v>
      </c>
    </row>
    <row r="319" spans="1:10" hidden="1" x14ac:dyDescent="0.2">
      <c r="A319" s="58" t="s">
        <v>206</v>
      </c>
      <c r="B319" t="s">
        <v>25</v>
      </c>
      <c r="C319" s="20" t="s">
        <v>211</v>
      </c>
      <c r="D319" s="20">
        <v>1.0368142567333301</v>
      </c>
      <c r="E319" s="20">
        <v>0.58803771583992603</v>
      </c>
      <c r="F319" s="20">
        <v>1.76317645757193</v>
      </c>
      <c r="G319" s="20">
        <v>-0.12983582331072799</v>
      </c>
      <c r="H319" s="20">
        <v>2.2034643367773898</v>
      </c>
      <c r="I319" s="20">
        <v>8.0925424805582402E-2</v>
      </c>
      <c r="J319" s="20" t="s">
        <v>200</v>
      </c>
    </row>
    <row r="320" spans="1:10" hidden="1" x14ac:dyDescent="0.2">
      <c r="A320" s="58" t="s">
        <v>206</v>
      </c>
      <c r="B320" t="s">
        <v>25</v>
      </c>
      <c r="C320" t="s">
        <v>214</v>
      </c>
      <c r="D320">
        <v>0.33177521655384401</v>
      </c>
      <c r="E320">
        <v>0.55478791884202805</v>
      </c>
      <c r="F320">
        <v>0.5980217039447</v>
      </c>
      <c r="G320">
        <v>-0.76890821324969605</v>
      </c>
      <c r="H320">
        <v>1.4324586463573801</v>
      </c>
      <c r="I320">
        <v>0.55117744679816005</v>
      </c>
    </row>
    <row r="321" spans="1:10" hidden="1" x14ac:dyDescent="0.2">
      <c r="A321" s="58" t="s">
        <v>206</v>
      </c>
      <c r="B321" t="s">
        <v>25</v>
      </c>
      <c r="C321" t="s">
        <v>210</v>
      </c>
      <c r="D321">
        <v>0.49044741346896298</v>
      </c>
      <c r="E321">
        <v>0.51050838349835204</v>
      </c>
      <c r="F321">
        <v>0.96070393615885996</v>
      </c>
      <c r="G321">
        <v>-0.52238667935926597</v>
      </c>
      <c r="H321">
        <v>1.50328150629719</v>
      </c>
      <c r="I321">
        <v>0.33901824591511698</v>
      </c>
    </row>
    <row r="322" spans="1:10" hidden="1" x14ac:dyDescent="0.2">
      <c r="A322" s="58" t="s">
        <v>206</v>
      </c>
      <c r="B322" t="s">
        <v>25</v>
      </c>
      <c r="C322" t="s">
        <v>207</v>
      </c>
      <c r="D322">
        <v>0.176795883094443</v>
      </c>
      <c r="E322">
        <v>0.50315651081908797</v>
      </c>
      <c r="F322">
        <v>0.35137353744391903</v>
      </c>
      <c r="G322">
        <v>-0.82145230373031497</v>
      </c>
      <c r="H322">
        <v>1.1750440699192</v>
      </c>
      <c r="I322">
        <v>0.72604738494433896</v>
      </c>
    </row>
    <row r="323" spans="1:10" hidden="1" x14ac:dyDescent="0.2">
      <c r="A323" s="58" t="s">
        <v>206</v>
      </c>
      <c r="B323" t="s">
        <v>25</v>
      </c>
      <c r="C323" t="s">
        <v>219</v>
      </c>
      <c r="D323">
        <v>1.9271001649997999E-2</v>
      </c>
      <c r="E323">
        <v>0.60102024541219801</v>
      </c>
      <c r="F323">
        <v>3.2063814483955302E-2</v>
      </c>
      <c r="G323">
        <v>-1.1731360473038399</v>
      </c>
      <c r="H323">
        <v>1.21167805060383</v>
      </c>
      <c r="I323">
        <v>0.974485070290112</v>
      </c>
    </row>
    <row r="324" spans="1:10" hidden="1" x14ac:dyDescent="0.2">
      <c r="A324" s="58" t="s">
        <v>206</v>
      </c>
      <c r="B324" t="s">
        <v>14</v>
      </c>
      <c r="C324" t="s">
        <v>215</v>
      </c>
      <c r="D324">
        <v>0.51827176054285595</v>
      </c>
      <c r="E324">
        <v>0.59044606778802899</v>
      </c>
      <c r="F324">
        <v>0.87776308255289504</v>
      </c>
      <c r="G324">
        <v>-0.65315642117281902</v>
      </c>
      <c r="H324">
        <v>1.6896999422585299</v>
      </c>
      <c r="I324">
        <v>0.38217633169204301</v>
      </c>
    </row>
    <row r="325" spans="1:10" hidden="1" x14ac:dyDescent="0.2">
      <c r="A325" s="58" t="s">
        <v>206</v>
      </c>
      <c r="B325" t="s">
        <v>14</v>
      </c>
      <c r="C325" t="s">
        <v>211</v>
      </c>
      <c r="D325">
        <v>0.60022976906666603</v>
      </c>
      <c r="E325">
        <v>0.56244672816633801</v>
      </c>
      <c r="F325">
        <v>1.0671762124450599</v>
      </c>
      <c r="G325">
        <v>-0.51564852030210495</v>
      </c>
      <c r="H325">
        <v>1.71610805843544</v>
      </c>
      <c r="I325">
        <v>0.28846187808006202</v>
      </c>
    </row>
    <row r="326" spans="1:10" hidden="1" x14ac:dyDescent="0.2">
      <c r="A326" s="58" t="s">
        <v>206</v>
      </c>
      <c r="B326" t="s">
        <v>14</v>
      </c>
      <c r="C326" t="s">
        <v>214</v>
      </c>
      <c r="D326">
        <v>0.220624893323077</v>
      </c>
      <c r="E326">
        <v>0.53064393894056405</v>
      </c>
      <c r="F326">
        <v>0.41576823390003598</v>
      </c>
      <c r="G326">
        <v>-0.83215756801215202</v>
      </c>
      <c r="H326">
        <v>1.27340735465831</v>
      </c>
      <c r="I326">
        <v>0.67847046590512206</v>
      </c>
    </row>
    <row r="327" spans="1:10" hidden="1" x14ac:dyDescent="0.2">
      <c r="A327" s="58" t="s">
        <v>206</v>
      </c>
      <c r="B327" t="s">
        <v>14</v>
      </c>
      <c r="C327" t="s">
        <v>210</v>
      </c>
      <c r="D327">
        <v>0.26354666022758599</v>
      </c>
      <c r="E327">
        <v>0.48829141782173802</v>
      </c>
      <c r="F327">
        <v>0.53973232092274803</v>
      </c>
      <c r="G327">
        <v>-0.70520960547022604</v>
      </c>
      <c r="H327">
        <v>1.2323029259253999</v>
      </c>
      <c r="I327">
        <v>0.59058150188417702</v>
      </c>
    </row>
    <row r="328" spans="1:10" hidden="1" x14ac:dyDescent="0.2">
      <c r="A328" s="58" t="s">
        <v>206</v>
      </c>
      <c r="B328" t="s">
        <v>14</v>
      </c>
      <c r="C328" t="s">
        <v>207</v>
      </c>
      <c r="D328">
        <v>-7.9864250211111001E-2</v>
      </c>
      <c r="E328">
        <v>0.48125949346899299</v>
      </c>
      <c r="F328">
        <v>-0.16594841513761599</v>
      </c>
      <c r="G328">
        <v>-1.0346693782726599</v>
      </c>
      <c r="H328">
        <v>0.87494087785044095</v>
      </c>
      <c r="I328">
        <v>0.868532596960366</v>
      </c>
    </row>
    <row r="329" spans="1:10" hidden="1" x14ac:dyDescent="0.2">
      <c r="A329" s="58" t="s">
        <v>206</v>
      </c>
      <c r="B329" t="s">
        <v>14</v>
      </c>
      <c r="C329" t="s">
        <v>219</v>
      </c>
      <c r="D329">
        <v>-0.1016477386</v>
      </c>
      <c r="E329">
        <v>0.57486426718561101</v>
      </c>
      <c r="F329">
        <v>-0.17682041553503</v>
      </c>
      <c r="G329">
        <v>-1.2421620717131701</v>
      </c>
      <c r="H329">
        <v>1.0388665945131601</v>
      </c>
      <c r="I329">
        <v>0.86000708064621501</v>
      </c>
    </row>
    <row r="330" spans="1:10" hidden="1" x14ac:dyDescent="0.2">
      <c r="A330" s="58" t="s">
        <v>206</v>
      </c>
      <c r="B330" t="s">
        <v>7</v>
      </c>
      <c r="C330" t="s">
        <v>215</v>
      </c>
      <c r="D330">
        <v>0.33354250751428399</v>
      </c>
      <c r="E330">
        <v>0.52559789801743095</v>
      </c>
      <c r="F330">
        <v>0.63459634974267398</v>
      </c>
      <c r="G330">
        <v>-0.70922875234814597</v>
      </c>
      <c r="H330">
        <v>1.3763137673767101</v>
      </c>
      <c r="I330">
        <v>0.52714089862704805</v>
      </c>
    </row>
    <row r="331" spans="1:10" hidden="1" x14ac:dyDescent="0.2">
      <c r="A331" s="58" t="s">
        <v>206</v>
      </c>
      <c r="B331" t="s">
        <v>7</v>
      </c>
      <c r="C331" s="20" t="s">
        <v>211</v>
      </c>
      <c r="D331" s="20">
        <v>0.96989793124444301</v>
      </c>
      <c r="E331" s="20">
        <v>0.50067370111970499</v>
      </c>
      <c r="F331" s="20">
        <v>1.93718569414644</v>
      </c>
      <c r="G331" s="20">
        <v>-2.3424431850824701E-2</v>
      </c>
      <c r="H331" s="20">
        <v>1.9632202943397099</v>
      </c>
      <c r="I331" s="20">
        <v>5.5544260361522699E-2</v>
      </c>
      <c r="J331" s="20" t="s">
        <v>200</v>
      </c>
    </row>
    <row r="332" spans="1:10" hidden="1" x14ac:dyDescent="0.2">
      <c r="A332" s="58" t="s">
        <v>206</v>
      </c>
      <c r="B332" t="s">
        <v>7</v>
      </c>
      <c r="C332" t="s">
        <v>214</v>
      </c>
      <c r="D332">
        <v>0.27786918472307598</v>
      </c>
      <c r="E332">
        <v>0.47236378412630597</v>
      </c>
      <c r="F332">
        <v>0.58825251651548305</v>
      </c>
      <c r="G332">
        <v>-0.65928710936552204</v>
      </c>
      <c r="H332">
        <v>1.2150254788116699</v>
      </c>
      <c r="I332">
        <v>0.557689054225877</v>
      </c>
    </row>
    <row r="333" spans="1:10" hidden="1" x14ac:dyDescent="0.2">
      <c r="A333" s="58" t="s">
        <v>206</v>
      </c>
      <c r="B333" t="s">
        <v>7</v>
      </c>
      <c r="C333" t="s">
        <v>210</v>
      </c>
      <c r="D333">
        <v>9.0181877213791894E-2</v>
      </c>
      <c r="E333">
        <v>0.434662802969488</v>
      </c>
      <c r="F333">
        <v>0.207475488120207</v>
      </c>
      <c r="G333">
        <v>-0.77217674403928604</v>
      </c>
      <c r="H333">
        <v>0.95254049846686994</v>
      </c>
      <c r="I333">
        <v>0.83606045964995401</v>
      </c>
    </row>
    <row r="334" spans="1:10" hidden="1" x14ac:dyDescent="0.2">
      <c r="A334" s="58" t="s">
        <v>206</v>
      </c>
      <c r="B334" t="s">
        <v>7</v>
      </c>
      <c r="C334" t="s">
        <v>207</v>
      </c>
      <c r="D334">
        <v>0.17770624407777699</v>
      </c>
      <c r="E334">
        <v>0.42840318865337201</v>
      </c>
      <c r="F334">
        <v>0.41481074087327202</v>
      </c>
      <c r="G334">
        <v>-0.67223348065518396</v>
      </c>
      <c r="H334">
        <v>1.02764596881074</v>
      </c>
      <c r="I334">
        <v>0.67916901614938296</v>
      </c>
    </row>
    <row r="335" spans="1:10" hidden="1" x14ac:dyDescent="0.2">
      <c r="A335" s="58" t="s">
        <v>206</v>
      </c>
      <c r="B335" t="s">
        <v>7</v>
      </c>
      <c r="C335" t="s">
        <v>219</v>
      </c>
      <c r="D335">
        <v>-0.139063722700001</v>
      </c>
      <c r="E335">
        <v>0.51172743280349797</v>
      </c>
      <c r="F335">
        <v>-0.27175350349724398</v>
      </c>
      <c r="G335">
        <v>-1.1543163746293199</v>
      </c>
      <c r="H335">
        <v>0.87618892922931402</v>
      </c>
      <c r="I335">
        <v>0.786371808808636</v>
      </c>
    </row>
    <row r="336" spans="1:10" hidden="1" x14ac:dyDescent="0.2">
      <c r="A336" s="58" t="s">
        <v>206</v>
      </c>
      <c r="B336" t="s">
        <v>21</v>
      </c>
      <c r="C336" t="s">
        <v>215</v>
      </c>
      <c r="D336">
        <v>-3.00134944571455E-2</v>
      </c>
      <c r="E336">
        <v>0.67914268638573405</v>
      </c>
      <c r="F336">
        <v>-4.4193208671467199E-2</v>
      </c>
      <c r="G336">
        <v>-1.37741324126001</v>
      </c>
      <c r="H336">
        <v>1.31738625234572</v>
      </c>
      <c r="I336">
        <v>0.96483852230010902</v>
      </c>
    </row>
    <row r="337" spans="1:9" hidden="1" x14ac:dyDescent="0.2">
      <c r="A337" s="58" t="s">
        <v>206</v>
      </c>
      <c r="B337" t="s">
        <v>21</v>
      </c>
      <c r="C337" t="s">
        <v>211</v>
      </c>
      <c r="D337">
        <v>0.30947050184444103</v>
      </c>
      <c r="E337">
        <v>0.64693729496202701</v>
      </c>
      <c r="F337">
        <v>0.47836243829876202</v>
      </c>
      <c r="G337">
        <v>-0.97403466563089103</v>
      </c>
      <c r="H337">
        <v>1.5929756693197701</v>
      </c>
      <c r="I337">
        <v>0.63343644031197899</v>
      </c>
    </row>
    <row r="338" spans="1:9" hidden="1" x14ac:dyDescent="0.2">
      <c r="A338" s="58" t="s">
        <v>206</v>
      </c>
      <c r="B338" t="s">
        <v>21</v>
      </c>
      <c r="C338" t="s">
        <v>214</v>
      </c>
      <c r="D338">
        <v>-0.45045632029231097</v>
      </c>
      <c r="E338">
        <v>0.61035710095673001</v>
      </c>
      <c r="F338">
        <v>-0.73802093821178605</v>
      </c>
      <c r="G338">
        <v>-1.6613874247190701</v>
      </c>
      <c r="H338">
        <v>0.76047478413444403</v>
      </c>
      <c r="I338">
        <v>0.46223014612065599</v>
      </c>
    </row>
    <row r="339" spans="1:9" hidden="1" x14ac:dyDescent="0.2">
      <c r="A339" s="58" t="s">
        <v>206</v>
      </c>
      <c r="B339" t="s">
        <v>21</v>
      </c>
      <c r="C339" t="s">
        <v>210</v>
      </c>
      <c r="D339">
        <v>-2.7218771324142001E-2</v>
      </c>
      <c r="E339">
        <v>0.561642397722947</v>
      </c>
      <c r="F339">
        <v>-4.84628144785621E-2</v>
      </c>
      <c r="G339">
        <v>-1.14150129200175</v>
      </c>
      <c r="H339">
        <v>1.0870637493534601</v>
      </c>
      <c r="I339">
        <v>0.961444059324296</v>
      </c>
    </row>
    <row r="340" spans="1:9" hidden="1" x14ac:dyDescent="0.2">
      <c r="A340" s="58" t="s">
        <v>206</v>
      </c>
      <c r="B340" t="s">
        <v>21</v>
      </c>
      <c r="C340" t="s">
        <v>207</v>
      </c>
      <c r="D340">
        <v>-0.26159269126667101</v>
      </c>
      <c r="E340">
        <v>0.55355413995323099</v>
      </c>
      <c r="F340">
        <v>-0.47256929789879798</v>
      </c>
      <c r="G340">
        <v>-1.3598283388946799</v>
      </c>
      <c r="H340">
        <v>0.83664295636133901</v>
      </c>
      <c r="I340">
        <v>0.63755023856341198</v>
      </c>
    </row>
    <row r="341" spans="1:9" hidden="1" x14ac:dyDescent="0.2">
      <c r="A341" s="58" t="s">
        <v>206</v>
      </c>
      <c r="B341" t="s">
        <v>21</v>
      </c>
      <c r="C341" t="s">
        <v>219</v>
      </c>
      <c r="D341">
        <v>-0.138891730475004</v>
      </c>
      <c r="E341">
        <v>0.66122019270312404</v>
      </c>
      <c r="F341">
        <v>-0.210053673508069</v>
      </c>
      <c r="G341">
        <v>-1.45073376027066</v>
      </c>
      <c r="H341">
        <v>1.17295029932065</v>
      </c>
      <c r="I341">
        <v>0.83405316114282801</v>
      </c>
    </row>
    <row r="342" spans="1:9" hidden="1" x14ac:dyDescent="0.2">
      <c r="A342" s="58" t="s">
        <v>206</v>
      </c>
      <c r="B342" t="s">
        <v>11</v>
      </c>
      <c r="C342" t="s">
        <v>215</v>
      </c>
      <c r="D342">
        <v>-0.27767725097142898</v>
      </c>
      <c r="E342">
        <v>0.60414121903138096</v>
      </c>
      <c r="F342">
        <v>-0.45962308517308098</v>
      </c>
      <c r="G342">
        <v>-1.47627622269579</v>
      </c>
      <c r="H342">
        <v>0.920921720752929</v>
      </c>
      <c r="I342">
        <v>0.64678446137028001</v>
      </c>
    </row>
    <row r="343" spans="1:9" hidden="1" x14ac:dyDescent="0.2">
      <c r="A343" s="58" t="s">
        <v>206</v>
      </c>
      <c r="B343" t="s">
        <v>11</v>
      </c>
      <c r="C343" t="s">
        <v>211</v>
      </c>
      <c r="D343">
        <v>0.62996716482222004</v>
      </c>
      <c r="E343">
        <v>0.575492446359404</v>
      </c>
      <c r="F343">
        <v>1.09465757336595</v>
      </c>
      <c r="G343">
        <v>-0.51179345788027897</v>
      </c>
      <c r="H343">
        <v>1.7717277875247199</v>
      </c>
      <c r="I343">
        <v>0.27629630163257302</v>
      </c>
    </row>
    <row r="344" spans="1:9" hidden="1" x14ac:dyDescent="0.2">
      <c r="A344" s="58" t="s">
        <v>206</v>
      </c>
      <c r="B344" t="s">
        <v>11</v>
      </c>
      <c r="C344" t="s">
        <v>214</v>
      </c>
      <c r="D344">
        <v>-0.55230571247692395</v>
      </c>
      <c r="E344">
        <v>0.542952004649908</v>
      </c>
      <c r="F344">
        <v>-1.0172275039909799</v>
      </c>
      <c r="G344">
        <v>-1.6295070256276101</v>
      </c>
      <c r="H344">
        <v>0.52489560067375995</v>
      </c>
      <c r="I344">
        <v>0.31150000940106398</v>
      </c>
    </row>
    <row r="345" spans="1:9" hidden="1" x14ac:dyDescent="0.2">
      <c r="A345" s="58" t="s">
        <v>206</v>
      </c>
      <c r="B345" t="s">
        <v>11</v>
      </c>
      <c r="C345" t="s">
        <v>210</v>
      </c>
      <c r="D345">
        <v>-0.29527888605517399</v>
      </c>
      <c r="E345">
        <v>0.499617134398955</v>
      </c>
      <c r="F345">
        <v>-0.59101032715861002</v>
      </c>
      <c r="G345">
        <v>-1.2865050508690501</v>
      </c>
      <c r="H345">
        <v>0.69594727875870699</v>
      </c>
      <c r="I345">
        <v>0.55584700407332099</v>
      </c>
    </row>
    <row r="346" spans="1:9" hidden="1" x14ac:dyDescent="0.2">
      <c r="A346" s="58" t="s">
        <v>206</v>
      </c>
      <c r="B346" t="s">
        <v>11</v>
      </c>
      <c r="C346" t="s">
        <v>207</v>
      </c>
      <c r="D346">
        <v>-0.17837231020555699</v>
      </c>
      <c r="E346">
        <v>0.49242210748223902</v>
      </c>
      <c r="F346">
        <v>-0.36223456968164403</v>
      </c>
      <c r="G346">
        <v>-1.1553237465416599</v>
      </c>
      <c r="H346">
        <v>0.79857912613054804</v>
      </c>
      <c r="I346">
        <v>0.71794113374165403</v>
      </c>
    </row>
    <row r="347" spans="1:9" hidden="1" x14ac:dyDescent="0.2">
      <c r="A347" s="58" t="s">
        <v>206</v>
      </c>
      <c r="B347" t="s">
        <v>11</v>
      </c>
      <c r="C347" t="s">
        <v>219</v>
      </c>
      <c r="D347">
        <v>-0.47834241215000101</v>
      </c>
      <c r="E347">
        <v>0.58819800503740105</v>
      </c>
      <c r="F347">
        <v>-0.81323365270439096</v>
      </c>
      <c r="G347">
        <v>-1.6453105013965801</v>
      </c>
      <c r="H347">
        <v>0.68862567709657396</v>
      </c>
      <c r="I347">
        <v>0.41801614763668798</v>
      </c>
    </row>
    <row r="348" spans="1:9" hidden="1" x14ac:dyDescent="0.2">
      <c r="A348" s="58" t="s">
        <v>206</v>
      </c>
      <c r="B348" t="s">
        <v>13</v>
      </c>
      <c r="C348" t="s">
        <v>215</v>
      </c>
      <c r="D348">
        <v>0.190348079971428</v>
      </c>
      <c r="E348">
        <v>0.60059416322709502</v>
      </c>
      <c r="F348">
        <v>0.31693295011169498</v>
      </c>
      <c r="G348">
        <v>-1.0012136340626101</v>
      </c>
      <c r="H348">
        <v>1.3819097940054701</v>
      </c>
      <c r="I348">
        <v>0.75195518955428498</v>
      </c>
    </row>
    <row r="349" spans="1:9" hidden="1" x14ac:dyDescent="0.2">
      <c r="A349" s="58" t="s">
        <v>206</v>
      </c>
      <c r="B349" t="s">
        <v>13</v>
      </c>
      <c r="C349" t="s">
        <v>211</v>
      </c>
      <c r="D349">
        <v>0.61803026951111195</v>
      </c>
      <c r="E349">
        <v>0.57211359426675101</v>
      </c>
      <c r="F349">
        <v>1.0802579692293599</v>
      </c>
      <c r="G349">
        <v>-0.51702680687426295</v>
      </c>
      <c r="H349">
        <v>1.75308734589649</v>
      </c>
      <c r="I349">
        <v>0.28262579155613499</v>
      </c>
    </row>
    <row r="350" spans="1:9" hidden="1" x14ac:dyDescent="0.2">
      <c r="A350" s="58" t="s">
        <v>206</v>
      </c>
      <c r="B350" t="s">
        <v>13</v>
      </c>
      <c r="C350" t="s">
        <v>214</v>
      </c>
      <c r="D350">
        <v>-0.21764451436923099</v>
      </c>
      <c r="E350">
        <v>0.53976420517708001</v>
      </c>
      <c r="F350">
        <v>-0.403221466487998</v>
      </c>
      <c r="G350">
        <v>-1.2885213241590601</v>
      </c>
      <c r="H350">
        <v>0.85323229542059897</v>
      </c>
      <c r="I350">
        <v>0.68764613892795901</v>
      </c>
    </row>
    <row r="351" spans="1:9" hidden="1" x14ac:dyDescent="0.2">
      <c r="A351" s="58" t="s">
        <v>206</v>
      </c>
      <c r="B351" t="s">
        <v>13</v>
      </c>
      <c r="C351" t="s">
        <v>210</v>
      </c>
      <c r="D351">
        <v>5.8553182055172397E-2</v>
      </c>
      <c r="E351">
        <v>0.49668376418572702</v>
      </c>
      <c r="F351">
        <v>0.117888254614414</v>
      </c>
      <c r="G351">
        <v>-0.92685325980237698</v>
      </c>
      <c r="H351">
        <v>1.04395962391272</v>
      </c>
      <c r="I351">
        <v>0.90639266747828695</v>
      </c>
    </row>
    <row r="352" spans="1:9" hidden="1" x14ac:dyDescent="0.2">
      <c r="A352" s="58" t="s">
        <v>206</v>
      </c>
      <c r="B352" t="s">
        <v>13</v>
      </c>
      <c r="C352" t="s">
        <v>207</v>
      </c>
      <c r="D352">
        <v>-0.10460157959999999</v>
      </c>
      <c r="E352">
        <v>0.48953098097161302</v>
      </c>
      <c r="F352">
        <v>-0.21367713927398099</v>
      </c>
      <c r="G352">
        <v>-1.0758171032825801</v>
      </c>
      <c r="H352">
        <v>0.86661394408257497</v>
      </c>
      <c r="I352">
        <v>0.831233895896759</v>
      </c>
    </row>
    <row r="353" spans="1:10" hidden="1" x14ac:dyDescent="0.2">
      <c r="A353" s="58" t="s">
        <v>206</v>
      </c>
      <c r="B353" t="s">
        <v>13</v>
      </c>
      <c r="C353" t="s">
        <v>219</v>
      </c>
      <c r="D353">
        <v>-0.33119081272500001</v>
      </c>
      <c r="E353">
        <v>0.58474455560850402</v>
      </c>
      <c r="F353">
        <v>-0.566385457630045</v>
      </c>
      <c r="G353">
        <v>-1.4913073566639801</v>
      </c>
      <c r="H353">
        <v>0.82892573121398305</v>
      </c>
      <c r="I353">
        <v>0.57240073251495005</v>
      </c>
    </row>
    <row r="354" spans="1:10" hidden="1" x14ac:dyDescent="0.2">
      <c r="A354" s="58" t="s">
        <v>206</v>
      </c>
      <c r="B354" t="s">
        <v>17</v>
      </c>
      <c r="C354" t="s">
        <v>215</v>
      </c>
      <c r="D354">
        <v>0.33737824948571099</v>
      </c>
      <c r="E354">
        <v>0.68965723572666904</v>
      </c>
      <c r="F354">
        <v>0.48919699817290602</v>
      </c>
      <c r="G354">
        <v>-1.0308820637396801</v>
      </c>
      <c r="H354">
        <v>1.7056385627111099</v>
      </c>
      <c r="I354">
        <v>0.62577352552912202</v>
      </c>
    </row>
    <row r="355" spans="1:10" hidden="1" x14ac:dyDescent="0.2">
      <c r="A355" s="58" t="s">
        <v>206</v>
      </c>
      <c r="B355" t="s">
        <v>17</v>
      </c>
      <c r="C355" t="s">
        <v>211</v>
      </c>
      <c r="D355">
        <v>0.595388061311108</v>
      </c>
      <c r="E355">
        <v>0.65695323748004197</v>
      </c>
      <c r="F355">
        <v>0.90628682125825699</v>
      </c>
      <c r="G355">
        <v>-0.70798845085113404</v>
      </c>
      <c r="H355">
        <v>1.89876457347335</v>
      </c>
      <c r="I355">
        <v>0.36696262928060702</v>
      </c>
    </row>
    <row r="356" spans="1:10" hidden="1" x14ac:dyDescent="0.2">
      <c r="A356" s="58" t="s">
        <v>206</v>
      </c>
      <c r="B356" t="s">
        <v>17</v>
      </c>
      <c r="C356" t="s">
        <v>214</v>
      </c>
      <c r="D356">
        <v>-4.3575281415387503E-2</v>
      </c>
      <c r="E356">
        <v>0.61980670555713102</v>
      </c>
      <c r="F356">
        <v>-7.0304630499630705E-2</v>
      </c>
      <c r="G356">
        <v>-1.2732541322306501</v>
      </c>
      <c r="H356">
        <v>1.1861035693998701</v>
      </c>
      <c r="I356">
        <v>0.94409160127076797</v>
      </c>
    </row>
    <row r="357" spans="1:10" hidden="1" x14ac:dyDescent="0.2">
      <c r="A357" s="58" t="s">
        <v>206</v>
      </c>
      <c r="B357" t="s">
        <v>17</v>
      </c>
      <c r="C357" t="s">
        <v>210</v>
      </c>
      <c r="D357">
        <v>0.27514299437241102</v>
      </c>
      <c r="E357">
        <v>0.57033779682125196</v>
      </c>
      <c r="F357">
        <v>0.48242111237569402</v>
      </c>
      <c r="G357">
        <v>-0.85639095045842595</v>
      </c>
      <c r="H357">
        <v>1.4066769392032501</v>
      </c>
      <c r="I357">
        <v>0.63056114105401895</v>
      </c>
    </row>
    <row r="358" spans="1:10" hidden="1" x14ac:dyDescent="0.2">
      <c r="A358" s="58" t="s">
        <v>206</v>
      </c>
      <c r="B358" t="s">
        <v>17</v>
      </c>
      <c r="C358" t="s">
        <v>207</v>
      </c>
      <c r="D358">
        <v>-2.8780753633336199E-2</v>
      </c>
      <c r="E358">
        <v>0.56212431590313705</v>
      </c>
      <c r="F358">
        <v>-5.1199979824917599E-2</v>
      </c>
      <c r="G358">
        <v>-1.1440193862546899</v>
      </c>
      <c r="H358">
        <v>1.0864578789880199</v>
      </c>
      <c r="I358">
        <v>0.95926830106236405</v>
      </c>
    </row>
    <row r="359" spans="1:10" hidden="1" x14ac:dyDescent="0.2">
      <c r="A359" s="58" t="s">
        <v>206</v>
      </c>
      <c r="B359" t="s">
        <v>17</v>
      </c>
      <c r="C359" t="s">
        <v>219</v>
      </c>
      <c r="D359">
        <v>6.7072999499969603E-3</v>
      </c>
      <c r="E359">
        <v>0.67145726435356001</v>
      </c>
      <c r="F359">
        <v>9.9891687916346603E-3</v>
      </c>
      <c r="G359">
        <v>-1.3254447884331999</v>
      </c>
      <c r="H359">
        <v>1.3388593883332001</v>
      </c>
      <c r="I359">
        <v>0.99204983027571503</v>
      </c>
    </row>
    <row r="360" spans="1:10" hidden="1" x14ac:dyDescent="0.2">
      <c r="A360" s="58" t="s">
        <v>206</v>
      </c>
      <c r="B360" t="s">
        <v>26</v>
      </c>
      <c r="C360" t="s">
        <v>215</v>
      </c>
      <c r="D360">
        <v>-0.23772550154285901</v>
      </c>
      <c r="E360">
        <v>0.70734428261368698</v>
      </c>
      <c r="F360">
        <v>-0.33608174602676599</v>
      </c>
      <c r="G360">
        <v>-1.6410764120388901</v>
      </c>
      <c r="H360">
        <v>1.1656254089531699</v>
      </c>
      <c r="I360">
        <v>0.73751338753151696</v>
      </c>
    </row>
    <row r="361" spans="1:10" hidden="1" x14ac:dyDescent="0.2">
      <c r="A361" s="58" t="s">
        <v>206</v>
      </c>
      <c r="B361" t="s">
        <v>26</v>
      </c>
      <c r="C361" t="s">
        <v>211</v>
      </c>
      <c r="D361">
        <v>-0.29536818662222403</v>
      </c>
      <c r="E361">
        <v>0.673801553008327</v>
      </c>
      <c r="F361">
        <v>-0.43836079822537</v>
      </c>
      <c r="G361">
        <v>-1.6321712769276799</v>
      </c>
      <c r="H361">
        <v>1.04143490368323</v>
      </c>
      <c r="I361">
        <v>0.66207029055297195</v>
      </c>
    </row>
    <row r="362" spans="1:10" hidden="1" x14ac:dyDescent="0.2">
      <c r="A362" s="58" t="s">
        <v>206</v>
      </c>
      <c r="B362" t="s">
        <v>26</v>
      </c>
      <c r="C362" t="s">
        <v>214</v>
      </c>
      <c r="D362">
        <v>-0.67617885970769398</v>
      </c>
      <c r="E362">
        <v>0.63570235588047797</v>
      </c>
      <c r="F362">
        <v>-1.0636720997693201</v>
      </c>
      <c r="G362">
        <v>-1.93739422803289</v>
      </c>
      <c r="H362">
        <v>0.58503650861749701</v>
      </c>
      <c r="I362">
        <v>0.290039053014505</v>
      </c>
    </row>
    <row r="363" spans="1:10" hidden="1" x14ac:dyDescent="0.2">
      <c r="A363" s="58" t="s">
        <v>206</v>
      </c>
      <c r="B363" t="s">
        <v>26</v>
      </c>
      <c r="C363" t="s">
        <v>210</v>
      </c>
      <c r="D363">
        <v>-0.42463827429655399</v>
      </c>
      <c r="E363">
        <v>0.58496476052328195</v>
      </c>
      <c r="F363">
        <v>-0.72592112030251599</v>
      </c>
      <c r="G363">
        <v>-1.5851916985147001</v>
      </c>
      <c r="H363">
        <v>0.73591514992158802</v>
      </c>
      <c r="I363">
        <v>0.46958270852672401</v>
      </c>
    </row>
    <row r="364" spans="1:10" hidden="1" x14ac:dyDescent="0.2">
      <c r="A364" s="58" t="s">
        <v>206</v>
      </c>
      <c r="B364" t="s">
        <v>26</v>
      </c>
      <c r="C364" t="s">
        <v>207</v>
      </c>
      <c r="D364">
        <v>-0.71769522287222498</v>
      </c>
      <c r="E364">
        <v>0.57654063551332002</v>
      </c>
      <c r="F364">
        <v>-1.24483024901311</v>
      </c>
      <c r="G364">
        <v>-1.8615354230021199</v>
      </c>
      <c r="H364">
        <v>0.42614497725767198</v>
      </c>
      <c r="I364">
        <v>0.216103560518558</v>
      </c>
    </row>
    <row r="365" spans="1:10" hidden="1" x14ac:dyDescent="0.2">
      <c r="A365" s="58" t="s">
        <v>206</v>
      </c>
      <c r="B365" t="s">
        <v>26</v>
      </c>
      <c r="C365" t="s">
        <v>219</v>
      </c>
      <c r="D365">
        <v>-0.52275507715000302</v>
      </c>
      <c r="E365">
        <v>0.68867755220385196</v>
      </c>
      <c r="F365">
        <v>-0.75907088226866604</v>
      </c>
      <c r="G365">
        <v>-1.88907172616896</v>
      </c>
      <c r="H365">
        <v>0.84356157186895597</v>
      </c>
      <c r="I365">
        <v>0.44959570642055102</v>
      </c>
    </row>
    <row r="366" spans="1:10" hidden="1" x14ac:dyDescent="0.2">
      <c r="A366" s="58" t="s">
        <v>206</v>
      </c>
      <c r="B366" t="s">
        <v>9</v>
      </c>
      <c r="C366" t="s">
        <v>215</v>
      </c>
      <c r="D366">
        <v>0.75258326322856905</v>
      </c>
      <c r="E366">
        <v>0.50019213000068896</v>
      </c>
      <c r="F366">
        <v>1.50458837332673</v>
      </c>
      <c r="G366">
        <v>-0.23978367648242699</v>
      </c>
      <c r="H366">
        <v>1.74495020293957</v>
      </c>
      <c r="I366">
        <v>0.13558191103696199</v>
      </c>
    </row>
    <row r="367" spans="1:10" hidden="1" x14ac:dyDescent="0.2">
      <c r="A367" s="58" t="s">
        <v>206</v>
      </c>
      <c r="B367" t="s">
        <v>9</v>
      </c>
      <c r="C367" s="11" t="s">
        <v>211</v>
      </c>
      <c r="D367" s="11">
        <v>1.22664686513333</v>
      </c>
      <c r="E367" s="11">
        <v>0.47647269127794001</v>
      </c>
      <c r="F367" s="11">
        <v>2.5744326749207</v>
      </c>
      <c r="G367" s="11">
        <v>0.28133861628363599</v>
      </c>
      <c r="H367" s="11">
        <v>2.1719551139830302</v>
      </c>
      <c r="I367" s="11">
        <v>1.15057437319072E-2</v>
      </c>
      <c r="J367" s="11" t="s">
        <v>61</v>
      </c>
    </row>
    <row r="368" spans="1:10" hidden="1" x14ac:dyDescent="0.2">
      <c r="A368" s="58" t="s">
        <v>206</v>
      </c>
      <c r="B368" t="s">
        <v>9</v>
      </c>
      <c r="C368" s="20" t="s">
        <v>214</v>
      </c>
      <c r="D368" s="20">
        <v>0.79970369026153798</v>
      </c>
      <c r="E368" s="20">
        <v>0.44953118764087302</v>
      </c>
      <c r="F368" s="20">
        <v>1.77897265473028</v>
      </c>
      <c r="G368" s="20">
        <v>-9.2153382706020998E-2</v>
      </c>
      <c r="H368" s="20">
        <v>1.6915607632291001</v>
      </c>
      <c r="I368" s="20">
        <v>7.8282729767429102E-2</v>
      </c>
      <c r="J368" s="20" t="s">
        <v>200</v>
      </c>
    </row>
    <row r="369" spans="1:10" hidden="1" x14ac:dyDescent="0.2">
      <c r="A369" s="58" t="s">
        <v>206</v>
      </c>
      <c r="B369" t="s">
        <v>9</v>
      </c>
      <c r="C369" t="s">
        <v>210</v>
      </c>
      <c r="D369">
        <v>0.27490263373103402</v>
      </c>
      <c r="E369">
        <v>0.41365255468005602</v>
      </c>
      <c r="F369">
        <v>0.66457376032322701</v>
      </c>
      <c r="G369">
        <v>-0.54577225331870305</v>
      </c>
      <c r="H369">
        <v>1.0955775207807701</v>
      </c>
      <c r="I369">
        <v>0.50785277427286801</v>
      </c>
    </row>
    <row r="370" spans="1:10" hidden="1" x14ac:dyDescent="0.2">
      <c r="A370" s="58" t="s">
        <v>206</v>
      </c>
      <c r="B370" t="s">
        <v>9</v>
      </c>
      <c r="C370" t="s">
        <v>207</v>
      </c>
      <c r="D370">
        <v>0.34205309182777799</v>
      </c>
      <c r="E370">
        <v>0.407695510655391</v>
      </c>
      <c r="F370">
        <v>0.83899155837627504</v>
      </c>
      <c r="G370">
        <v>-0.46680318954243299</v>
      </c>
      <c r="H370">
        <v>1.15090937319799</v>
      </c>
      <c r="I370">
        <v>0.40347519057269099</v>
      </c>
    </row>
    <row r="371" spans="1:10" hidden="1" x14ac:dyDescent="0.2">
      <c r="A371" s="58" t="s">
        <v>206</v>
      </c>
      <c r="B371" t="s">
        <v>9</v>
      </c>
      <c r="C371" t="s">
        <v>219</v>
      </c>
      <c r="D371">
        <v>0.104351538925</v>
      </c>
      <c r="E371">
        <v>0.48699211994427999</v>
      </c>
      <c r="F371">
        <v>0.214277674425081</v>
      </c>
      <c r="G371">
        <v>-0.86182695678985499</v>
      </c>
      <c r="H371">
        <v>1.0705300346398601</v>
      </c>
      <c r="I371">
        <v>0.83076685676618101</v>
      </c>
    </row>
    <row r="372" spans="1:10" hidden="1" x14ac:dyDescent="0.2">
      <c r="A372" s="62" t="s">
        <v>212</v>
      </c>
      <c r="B372" t="s">
        <v>18</v>
      </c>
      <c r="C372" t="s">
        <v>213</v>
      </c>
      <c r="D372">
        <v>-1.42345162873564E-2</v>
      </c>
      <c r="E372">
        <v>0.19949345367997501</v>
      </c>
      <c r="F372">
        <v>-7.1353300194959002E-2</v>
      </c>
      <c r="G372">
        <v>-0.40983752122258899</v>
      </c>
      <c r="H372">
        <v>0.38136848864787598</v>
      </c>
      <c r="I372">
        <v>0.94325361052401202</v>
      </c>
    </row>
    <row r="373" spans="1:10" hidden="1" x14ac:dyDescent="0.2">
      <c r="A373" s="62" t="s">
        <v>212</v>
      </c>
      <c r="B373" t="s">
        <v>25</v>
      </c>
      <c r="C373" t="s">
        <v>213</v>
      </c>
      <c r="D373">
        <v>0.1527469191875</v>
      </c>
      <c r="E373">
        <v>0.208005536736657</v>
      </c>
      <c r="F373">
        <v>0.73434064104208596</v>
      </c>
      <c r="G373">
        <v>-0.25973586587767999</v>
      </c>
      <c r="H373">
        <v>0.56522970425268004</v>
      </c>
      <c r="I373">
        <v>0.46439361803590101</v>
      </c>
    </row>
    <row r="374" spans="1:10" hidden="1" x14ac:dyDescent="0.2">
      <c r="A374" s="62" t="s">
        <v>212</v>
      </c>
      <c r="B374" t="s">
        <v>14</v>
      </c>
      <c r="C374" t="s">
        <v>213</v>
      </c>
      <c r="D374">
        <v>-7.9432184265804506E-2</v>
      </c>
      <c r="E374">
        <v>0.19810327072113401</v>
      </c>
      <c r="F374">
        <v>-0.40096351754645998</v>
      </c>
      <c r="G374">
        <v>-0.47227840422497802</v>
      </c>
      <c r="H374">
        <v>0.31341403569336901</v>
      </c>
      <c r="I374">
        <v>0.68926957889279705</v>
      </c>
    </row>
    <row r="375" spans="1:10" hidden="1" x14ac:dyDescent="0.2">
      <c r="A375" s="62" t="s">
        <v>212</v>
      </c>
      <c r="B375" t="s">
        <v>7</v>
      </c>
      <c r="C375" t="s">
        <v>213</v>
      </c>
      <c r="D375">
        <v>-4.2145822747844702E-2</v>
      </c>
      <c r="E375">
        <v>0.179014360293963</v>
      </c>
      <c r="F375">
        <v>-0.23543263612280199</v>
      </c>
      <c r="G375">
        <v>-0.39713801699025097</v>
      </c>
      <c r="H375">
        <v>0.31284637149456102</v>
      </c>
      <c r="I375">
        <v>0.81433593125707204</v>
      </c>
    </row>
    <row r="376" spans="1:10" hidden="1" x14ac:dyDescent="0.2">
      <c r="A376" s="62" t="s">
        <v>212</v>
      </c>
      <c r="B376" t="s">
        <v>21</v>
      </c>
      <c r="C376" t="s">
        <v>213</v>
      </c>
      <c r="D376">
        <v>0.262009198296696</v>
      </c>
      <c r="E376">
        <v>0.223732732892366</v>
      </c>
      <c r="F376">
        <v>1.17108120438838</v>
      </c>
      <c r="G376">
        <v>-0.18166120693162499</v>
      </c>
      <c r="H376">
        <v>0.70567960352501702</v>
      </c>
      <c r="I376">
        <v>0.244242333591844</v>
      </c>
    </row>
    <row r="377" spans="1:10" hidden="1" x14ac:dyDescent="0.2">
      <c r="A377" s="62" t="s">
        <v>212</v>
      </c>
      <c r="B377" t="s">
        <v>11</v>
      </c>
      <c r="C377" t="s">
        <v>213</v>
      </c>
      <c r="D377">
        <v>0.10010234497341899</v>
      </c>
      <c r="E377">
        <v>0.20517217770210999</v>
      </c>
      <c r="F377">
        <v>0.487894343641261</v>
      </c>
      <c r="G377">
        <v>-0.30676178280025201</v>
      </c>
      <c r="H377">
        <v>0.50696647274708995</v>
      </c>
      <c r="I377">
        <v>0.62665168730401299</v>
      </c>
    </row>
    <row r="378" spans="1:10" hidden="1" x14ac:dyDescent="0.2">
      <c r="A378" s="62" t="s">
        <v>212</v>
      </c>
      <c r="B378" t="s">
        <v>13</v>
      </c>
      <c r="C378" t="s">
        <v>213</v>
      </c>
      <c r="D378">
        <v>0.158635459588362</v>
      </c>
      <c r="E378">
        <v>0.200730783677149</v>
      </c>
      <c r="F378">
        <v>0.79028964408123703</v>
      </c>
      <c r="G378">
        <v>-0.23942121716391099</v>
      </c>
      <c r="H378">
        <v>0.55669213634063497</v>
      </c>
      <c r="I378">
        <v>0.43115697872511799</v>
      </c>
    </row>
    <row r="379" spans="1:10" hidden="1" x14ac:dyDescent="0.2">
      <c r="A379" s="62" t="s">
        <v>212</v>
      </c>
      <c r="B379" t="s">
        <v>17</v>
      </c>
      <c r="C379" t="s">
        <v>213</v>
      </c>
      <c r="D379">
        <v>0.290621160856322</v>
      </c>
      <c r="E379">
        <v>0.22687215978123099</v>
      </c>
      <c r="F379">
        <v>1.2809908502504801</v>
      </c>
      <c r="G379">
        <v>-0.159274845704272</v>
      </c>
      <c r="H379">
        <v>0.74051716741691498</v>
      </c>
      <c r="I379">
        <v>0.203046035473847</v>
      </c>
    </row>
    <row r="380" spans="1:10" hidden="1" x14ac:dyDescent="0.2">
      <c r="A380" s="62" t="s">
        <v>212</v>
      </c>
      <c r="B380" t="s">
        <v>26</v>
      </c>
      <c r="C380" t="s">
        <v>213</v>
      </c>
      <c r="D380">
        <v>0.23476827565158001</v>
      </c>
      <c r="E380">
        <v>0.23324702154940899</v>
      </c>
      <c r="F380">
        <v>1.0065220730025399</v>
      </c>
      <c r="G380">
        <v>-0.227769321021456</v>
      </c>
      <c r="H380">
        <v>0.69730587232461705</v>
      </c>
      <c r="I380">
        <v>0.31650060309192002</v>
      </c>
    </row>
    <row r="381" spans="1:10" hidden="1" x14ac:dyDescent="0.2">
      <c r="A381" s="62" t="s">
        <v>212</v>
      </c>
      <c r="B381" t="s">
        <v>9</v>
      </c>
      <c r="C381" t="s">
        <v>213</v>
      </c>
      <c r="D381">
        <v>4.1437290587643602E-2</v>
      </c>
      <c r="E381">
        <v>0.17517926742196899</v>
      </c>
      <c r="F381">
        <v>0.236542207291176</v>
      </c>
      <c r="G381">
        <v>-0.30594977057204797</v>
      </c>
      <c r="H381">
        <v>0.38882435174733498</v>
      </c>
      <c r="I381">
        <v>0.81347722369311104</v>
      </c>
    </row>
    <row r="382" spans="1:10" hidden="1" x14ac:dyDescent="0.2">
      <c r="A382" s="63" t="s">
        <v>216</v>
      </c>
      <c r="B382" t="s">
        <v>18</v>
      </c>
      <c r="C382" t="s">
        <v>217</v>
      </c>
      <c r="D382">
        <v>-6.3520223224026104E-2</v>
      </c>
      <c r="E382">
        <v>0.199881670193849</v>
      </c>
      <c r="F382">
        <v>-0.31778913575428402</v>
      </c>
      <c r="G382">
        <v>-0.459848651836053</v>
      </c>
      <c r="H382">
        <v>0.33280820538800099</v>
      </c>
      <c r="I382">
        <v>0.751276021246156</v>
      </c>
    </row>
    <row r="383" spans="1:10" hidden="1" x14ac:dyDescent="0.2">
      <c r="A383" s="63" t="s">
        <v>216</v>
      </c>
      <c r="B383" t="s">
        <v>25</v>
      </c>
      <c r="C383" t="s">
        <v>217</v>
      </c>
      <c r="D383">
        <v>-0.30775388763456002</v>
      </c>
      <c r="E383">
        <v>0.206860100492638</v>
      </c>
      <c r="F383">
        <v>-1.4877392348821401</v>
      </c>
      <c r="G383">
        <v>-0.71791925443014104</v>
      </c>
      <c r="H383">
        <v>0.102411479161021</v>
      </c>
      <c r="I383">
        <v>0.13981673319826299</v>
      </c>
    </row>
    <row r="384" spans="1:10" hidden="1" x14ac:dyDescent="0.2">
      <c r="A384" s="63" t="s">
        <v>216</v>
      </c>
      <c r="B384" t="s">
        <v>14</v>
      </c>
      <c r="C384" s="11" t="s">
        <v>217</v>
      </c>
      <c r="D384" s="11">
        <v>-0.39399864645093802</v>
      </c>
      <c r="E384" s="11">
        <v>0.194961730574681</v>
      </c>
      <c r="F384" s="11">
        <v>-2.0209024883476601</v>
      </c>
      <c r="G384" s="11">
        <v>-0.78057174363992998</v>
      </c>
      <c r="H384" s="11">
        <v>-7.42554926194605E-3</v>
      </c>
      <c r="I384" s="11">
        <v>4.5834964692411398E-2</v>
      </c>
      <c r="J384" s="11" t="s">
        <v>61</v>
      </c>
    </row>
    <row r="385" spans="1:10" hidden="1" x14ac:dyDescent="0.2">
      <c r="A385" s="63" t="s">
        <v>216</v>
      </c>
      <c r="B385" t="s">
        <v>7</v>
      </c>
      <c r="C385" t="s">
        <v>217</v>
      </c>
      <c r="D385">
        <v>-0.15435579969191901</v>
      </c>
      <c r="E385">
        <v>0.17880668453784901</v>
      </c>
      <c r="F385">
        <v>-0.86325519703513198</v>
      </c>
      <c r="G385">
        <v>-0.50889642485021902</v>
      </c>
      <c r="H385">
        <v>0.20018482546638</v>
      </c>
      <c r="I385">
        <v>0.38996473278194099</v>
      </c>
    </row>
    <row r="386" spans="1:10" hidden="1" x14ac:dyDescent="0.2">
      <c r="A386" s="63" t="s">
        <v>216</v>
      </c>
      <c r="B386" t="s">
        <v>21</v>
      </c>
      <c r="C386" t="s">
        <v>217</v>
      </c>
      <c r="D386">
        <v>-0.17467808476659499</v>
      </c>
      <c r="E386">
        <v>0.22514742818560299</v>
      </c>
      <c r="F386">
        <v>-0.77583868567486602</v>
      </c>
      <c r="G386">
        <v>-0.62110384422868303</v>
      </c>
      <c r="H386">
        <v>0.27174767469549299</v>
      </c>
      <c r="I386">
        <v>0.43958823277758202</v>
      </c>
    </row>
    <row r="387" spans="1:10" hidden="1" x14ac:dyDescent="0.2">
      <c r="A387" s="63" t="s">
        <v>216</v>
      </c>
      <c r="B387" t="s">
        <v>11</v>
      </c>
      <c r="C387" t="s">
        <v>217</v>
      </c>
      <c r="D387">
        <v>-4.2164737769480397E-2</v>
      </c>
      <c r="E387">
        <v>0.20593111980251899</v>
      </c>
      <c r="F387">
        <v>-0.20475165584451199</v>
      </c>
      <c r="G387">
        <v>-0.45048810746363299</v>
      </c>
      <c r="H387">
        <v>0.36615863192467202</v>
      </c>
      <c r="I387">
        <v>0.83816253929979601</v>
      </c>
    </row>
    <row r="388" spans="1:10" hidden="1" x14ac:dyDescent="0.2">
      <c r="A388" s="63" t="s">
        <v>216</v>
      </c>
      <c r="B388" t="s">
        <v>13</v>
      </c>
      <c r="C388" t="s">
        <v>217</v>
      </c>
      <c r="D388">
        <v>-0.23728172640223699</v>
      </c>
      <c r="E388">
        <v>0.20056524982137799</v>
      </c>
      <c r="F388">
        <v>-1.1830649956239101</v>
      </c>
      <c r="G388">
        <v>-0.63496556714058405</v>
      </c>
      <c r="H388">
        <v>0.16040211433611001</v>
      </c>
      <c r="I388">
        <v>0.23945518247761699</v>
      </c>
    </row>
    <row r="389" spans="1:10" hidden="1" x14ac:dyDescent="0.2">
      <c r="A389" s="63" t="s">
        <v>216</v>
      </c>
      <c r="B389" t="s">
        <v>17</v>
      </c>
      <c r="C389" t="s">
        <v>217</v>
      </c>
      <c r="D389">
        <v>-0.262531689406927</v>
      </c>
      <c r="E389">
        <v>0.22791848753999</v>
      </c>
      <c r="F389">
        <v>-1.1518665828320001</v>
      </c>
      <c r="G389">
        <v>-0.71445194768148501</v>
      </c>
      <c r="H389">
        <v>0.189388568867632</v>
      </c>
      <c r="I389">
        <v>0.25199186417644398</v>
      </c>
    </row>
    <row r="390" spans="1:10" hidden="1" x14ac:dyDescent="0.2">
      <c r="A390" s="63" t="s">
        <v>216</v>
      </c>
      <c r="B390" t="s">
        <v>26</v>
      </c>
      <c r="C390" t="s">
        <v>217</v>
      </c>
      <c r="D390">
        <v>-0.27864477713744601</v>
      </c>
      <c r="E390">
        <v>0.23346895024799599</v>
      </c>
      <c r="F390">
        <v>-1.1934982225322199</v>
      </c>
      <c r="G390">
        <v>-0.74157057764606804</v>
      </c>
      <c r="H390">
        <v>0.18428102337117599</v>
      </c>
      <c r="I390">
        <v>0.23536395678334801</v>
      </c>
    </row>
    <row r="391" spans="1:10" hidden="1" x14ac:dyDescent="0.2">
      <c r="A391" s="63" t="s">
        <v>216</v>
      </c>
      <c r="B391" t="s">
        <v>9</v>
      </c>
      <c r="C391" t="s">
        <v>217</v>
      </c>
      <c r="D391">
        <v>-0.25158170535858598</v>
      </c>
      <c r="E391">
        <v>0.17390685360233599</v>
      </c>
      <c r="F391">
        <v>-1.4466462945380201</v>
      </c>
      <c r="G391">
        <v>-0.59640687089893696</v>
      </c>
      <c r="H391">
        <v>9.3243460181765006E-2</v>
      </c>
      <c r="I391">
        <v>0.15097472199560499</v>
      </c>
    </row>
    <row r="392" spans="1:10" hidden="1" x14ac:dyDescent="0.2">
      <c r="A392" s="19" t="s">
        <v>27</v>
      </c>
      <c r="B392" t="s">
        <v>18</v>
      </c>
      <c r="C392" t="s">
        <v>32</v>
      </c>
      <c r="D392">
        <v>-0.34825949724911798</v>
      </c>
      <c r="E392">
        <v>0.23943953560862699</v>
      </c>
      <c r="F392">
        <v>-1.45447783451419</v>
      </c>
      <c r="G392">
        <v>-0.82318668084132796</v>
      </c>
      <c r="H392">
        <v>0.126667686343091</v>
      </c>
      <c r="I392">
        <v>0.14888426138518299</v>
      </c>
    </row>
    <row r="393" spans="1:10" hidden="1" x14ac:dyDescent="0.2">
      <c r="A393" s="19" t="s">
        <v>27</v>
      </c>
      <c r="B393" t="s">
        <v>18</v>
      </c>
      <c r="C393" s="11" t="s">
        <v>35</v>
      </c>
      <c r="D393" s="11">
        <v>-1.04707496241216</v>
      </c>
      <c r="E393" s="11">
        <v>0.51486244893931099</v>
      </c>
      <c r="F393" s="11">
        <v>-2.0336984461952601</v>
      </c>
      <c r="G393" s="11">
        <v>-2.0683021886953599</v>
      </c>
      <c r="H393" s="11">
        <v>-2.5847736128966601E-2</v>
      </c>
      <c r="I393" s="11">
        <v>4.4578416352104702E-2</v>
      </c>
      <c r="J393" s="11" t="s">
        <v>61</v>
      </c>
    </row>
    <row r="394" spans="1:10" hidden="1" x14ac:dyDescent="0.2">
      <c r="A394" s="19" t="s">
        <v>27</v>
      </c>
      <c r="B394" t="s">
        <v>18</v>
      </c>
      <c r="C394" t="s">
        <v>204</v>
      </c>
      <c r="D394">
        <v>-0.71894110916216103</v>
      </c>
      <c r="E394">
        <v>1.00972833613758</v>
      </c>
      <c r="F394">
        <v>-0.71201439380443499</v>
      </c>
      <c r="G394">
        <v>-2.7217324763276398</v>
      </c>
      <c r="H394">
        <v>1.28385025800332</v>
      </c>
      <c r="I394">
        <v>0.47808127545547002</v>
      </c>
    </row>
    <row r="395" spans="1:10" hidden="1" x14ac:dyDescent="0.2">
      <c r="A395" s="19" t="s">
        <v>27</v>
      </c>
      <c r="B395" t="s">
        <v>18</v>
      </c>
      <c r="C395" t="s">
        <v>28</v>
      </c>
      <c r="D395">
        <v>3.1757552437838003E-2</v>
      </c>
      <c r="E395">
        <v>0.46344954047126402</v>
      </c>
      <c r="F395">
        <v>6.8524293724717106E-2</v>
      </c>
      <c r="G395">
        <v>-0.88749241367005804</v>
      </c>
      <c r="H395">
        <v>0.95100751854573495</v>
      </c>
      <c r="I395">
        <v>0.94550243437602999</v>
      </c>
    </row>
    <row r="396" spans="1:10" hidden="1" x14ac:dyDescent="0.2">
      <c r="A396" s="19" t="s">
        <v>27</v>
      </c>
      <c r="B396" t="s">
        <v>25</v>
      </c>
      <c r="C396" t="s">
        <v>32</v>
      </c>
      <c r="D396">
        <v>-5.7490125038777901E-2</v>
      </c>
      <c r="E396">
        <v>0.25415248510362798</v>
      </c>
      <c r="F396">
        <v>-0.226203277199264</v>
      </c>
      <c r="G396">
        <v>-0.56160037419379805</v>
      </c>
      <c r="H396">
        <v>0.44662012411624202</v>
      </c>
      <c r="I396">
        <v>0.82149599087335501</v>
      </c>
    </row>
    <row r="397" spans="1:10" hidden="1" x14ac:dyDescent="0.2">
      <c r="A397" s="19" t="s">
        <v>27</v>
      </c>
      <c r="B397" t="s">
        <v>25</v>
      </c>
      <c r="C397" t="s">
        <v>35</v>
      </c>
      <c r="D397">
        <v>-0.88212875711486505</v>
      </c>
      <c r="E397">
        <v>0.54649943482329</v>
      </c>
      <c r="F397">
        <v>-1.6141439513109499</v>
      </c>
      <c r="G397">
        <v>-1.9661077948941501</v>
      </c>
      <c r="H397">
        <v>0.20185028066442401</v>
      </c>
      <c r="I397">
        <v>0.109585673746264</v>
      </c>
    </row>
    <row r="398" spans="1:10" hidden="1" x14ac:dyDescent="0.2">
      <c r="A398" s="19" t="s">
        <v>27</v>
      </c>
      <c r="B398" t="s">
        <v>25</v>
      </c>
      <c r="C398" t="s">
        <v>204</v>
      </c>
      <c r="D398">
        <v>-0.54610552586486505</v>
      </c>
      <c r="E398">
        <v>1.07177357012745</v>
      </c>
      <c r="F398">
        <v>-0.50953442134230098</v>
      </c>
      <c r="G398">
        <v>-2.6719633204656801</v>
      </c>
      <c r="H398">
        <v>1.57975226873595</v>
      </c>
      <c r="I398">
        <v>0.61147832353864096</v>
      </c>
    </row>
    <row r="399" spans="1:10" hidden="1" x14ac:dyDescent="0.2">
      <c r="A399" s="19" t="s">
        <v>27</v>
      </c>
      <c r="B399" t="s">
        <v>25</v>
      </c>
      <c r="C399" t="s">
        <v>28</v>
      </c>
      <c r="D399">
        <v>4.6538703335135198E-2</v>
      </c>
      <c r="E399">
        <v>0.49192733410339201</v>
      </c>
      <c r="F399">
        <v>9.4604833089746196E-2</v>
      </c>
      <c r="G399">
        <v>-0.92919683141641995</v>
      </c>
      <c r="H399">
        <v>1.02227423808669</v>
      </c>
      <c r="I399">
        <v>0.92481431045515705</v>
      </c>
    </row>
    <row r="400" spans="1:10" hidden="1" x14ac:dyDescent="0.2">
      <c r="A400" s="19" t="s">
        <v>27</v>
      </c>
      <c r="B400" t="s">
        <v>14</v>
      </c>
      <c r="C400" s="20" t="s">
        <v>32</v>
      </c>
      <c r="D400" s="20">
        <v>-0.41413652132491202</v>
      </c>
      <c r="E400" s="20">
        <v>0.23641338771157699</v>
      </c>
      <c r="F400" s="20">
        <v>-1.75174733264326</v>
      </c>
      <c r="G400" s="20">
        <v>-0.88306135491161297</v>
      </c>
      <c r="H400" s="20">
        <v>5.4788312261788798E-2</v>
      </c>
      <c r="I400" s="20">
        <v>8.2822884652377193E-2</v>
      </c>
      <c r="J400" s="20" t="s">
        <v>200</v>
      </c>
    </row>
    <row r="401" spans="1:10" hidden="1" x14ac:dyDescent="0.2">
      <c r="A401" s="19" t="s">
        <v>27</v>
      </c>
      <c r="B401" t="s">
        <v>14</v>
      </c>
      <c r="C401" s="11" t="s">
        <v>35</v>
      </c>
      <c r="D401" s="11">
        <v>-1.0870549014662201</v>
      </c>
      <c r="E401" s="11">
        <v>0.50835537852937396</v>
      </c>
      <c r="F401" s="11">
        <v>-2.1383759223930499</v>
      </c>
      <c r="G401" s="11">
        <v>-2.09537538444417</v>
      </c>
      <c r="H401" s="11">
        <v>-7.8734418488265706E-2</v>
      </c>
      <c r="I401" s="11">
        <v>3.48741438959791E-2</v>
      </c>
      <c r="J401" s="11" t="s">
        <v>61</v>
      </c>
    </row>
    <row r="402" spans="1:10" hidden="1" x14ac:dyDescent="0.2">
      <c r="A402" s="19" t="s">
        <v>27</v>
      </c>
      <c r="B402" t="s">
        <v>14</v>
      </c>
      <c r="C402" t="s">
        <v>204</v>
      </c>
      <c r="D402">
        <v>-0.50500501371621598</v>
      </c>
      <c r="E402">
        <v>0.99696692113889396</v>
      </c>
      <c r="F402">
        <v>-0.50654139370975204</v>
      </c>
      <c r="G402">
        <v>-2.4824841747392501</v>
      </c>
      <c r="H402">
        <v>1.4724741473068099</v>
      </c>
      <c r="I402">
        <v>0.61356984343505006</v>
      </c>
    </row>
    <row r="403" spans="1:10" hidden="1" x14ac:dyDescent="0.2">
      <c r="A403" s="19" t="s">
        <v>27</v>
      </c>
      <c r="B403" t="s">
        <v>14</v>
      </c>
      <c r="C403" t="s">
        <v>28</v>
      </c>
      <c r="D403">
        <v>0.178364682083784</v>
      </c>
      <c r="E403">
        <v>0.45759225024255901</v>
      </c>
      <c r="F403">
        <v>0.38978956044215501</v>
      </c>
      <c r="G403">
        <v>-0.72926737662745</v>
      </c>
      <c r="H403">
        <v>1.08599674079502</v>
      </c>
      <c r="I403">
        <v>0.69750487750561596</v>
      </c>
    </row>
    <row r="404" spans="1:10" hidden="1" x14ac:dyDescent="0.2">
      <c r="A404" s="19" t="s">
        <v>27</v>
      </c>
      <c r="B404" t="s">
        <v>7</v>
      </c>
      <c r="C404" t="s">
        <v>32</v>
      </c>
      <c r="D404">
        <v>-0.14722178088249099</v>
      </c>
      <c r="E404">
        <v>0.218000453454781</v>
      </c>
      <c r="F404">
        <v>-0.675327865375421</v>
      </c>
      <c r="G404">
        <v>-0.579624646674606</v>
      </c>
      <c r="H404">
        <v>0.28518108490962402</v>
      </c>
      <c r="I404">
        <v>0.50099558201516803</v>
      </c>
    </row>
    <row r="405" spans="1:10" hidden="1" x14ac:dyDescent="0.2">
      <c r="A405" s="19" t="s">
        <v>27</v>
      </c>
      <c r="B405" t="s">
        <v>7</v>
      </c>
      <c r="C405" t="s">
        <v>35</v>
      </c>
      <c r="D405">
        <v>-0.74934072037162203</v>
      </c>
      <c r="E405">
        <v>0.46876238316411301</v>
      </c>
      <c r="F405">
        <v>-1.5985513071966699</v>
      </c>
      <c r="G405">
        <v>-1.67912868477028</v>
      </c>
      <c r="H405">
        <v>0.18044724402703299</v>
      </c>
      <c r="I405">
        <v>0.11301359528978699</v>
      </c>
    </row>
    <row r="406" spans="1:10" hidden="1" x14ac:dyDescent="0.2">
      <c r="A406" s="19" t="s">
        <v>27</v>
      </c>
      <c r="B406" t="s">
        <v>7</v>
      </c>
      <c r="C406" t="s">
        <v>204</v>
      </c>
      <c r="D406">
        <v>-0.44353852562162099</v>
      </c>
      <c r="E406">
        <v>0.91931866884310398</v>
      </c>
      <c r="F406">
        <v>-0.48246439526761897</v>
      </c>
      <c r="G406">
        <v>-2.26700274638026</v>
      </c>
      <c r="H406">
        <v>1.37992569513701</v>
      </c>
      <c r="I406">
        <v>0.63050986496180506</v>
      </c>
    </row>
    <row r="407" spans="1:10" hidden="1" x14ac:dyDescent="0.2">
      <c r="A407" s="19" t="s">
        <v>27</v>
      </c>
      <c r="B407" t="s">
        <v>7</v>
      </c>
      <c r="C407" t="s">
        <v>28</v>
      </c>
      <c r="D407">
        <v>-0.16589606522162101</v>
      </c>
      <c r="E407">
        <v>0.42195291483226999</v>
      </c>
      <c r="F407">
        <v>-0.39316250555483601</v>
      </c>
      <c r="G407">
        <v>-1.0028376711282101</v>
      </c>
      <c r="H407">
        <v>0.67104554068497102</v>
      </c>
      <c r="I407">
        <v>0.69501999923260405</v>
      </c>
    </row>
    <row r="408" spans="1:10" hidden="1" x14ac:dyDescent="0.2">
      <c r="A408" s="19" t="s">
        <v>27</v>
      </c>
      <c r="B408" t="s">
        <v>21</v>
      </c>
      <c r="C408" t="s">
        <v>32</v>
      </c>
      <c r="D408">
        <v>0.37035884477967002</v>
      </c>
      <c r="E408">
        <v>0.27451431880598398</v>
      </c>
      <c r="F408">
        <v>1.34914217367811</v>
      </c>
      <c r="G408">
        <v>-0.17413900497961801</v>
      </c>
      <c r="H408">
        <v>0.91485669453895702</v>
      </c>
      <c r="I408">
        <v>0.18027861975889101</v>
      </c>
    </row>
    <row r="409" spans="1:10" hidden="1" x14ac:dyDescent="0.2">
      <c r="A409" s="19" t="s">
        <v>27</v>
      </c>
      <c r="B409" t="s">
        <v>21</v>
      </c>
      <c r="C409" t="s">
        <v>35</v>
      </c>
      <c r="D409">
        <v>-0.39117821195945901</v>
      </c>
      <c r="E409">
        <v>0.59028311297920399</v>
      </c>
      <c r="F409">
        <v>-0.66269592227558904</v>
      </c>
      <c r="G409">
        <v>-1.56200196776345</v>
      </c>
      <c r="H409">
        <v>0.779645543844528</v>
      </c>
      <c r="I409">
        <v>0.50902004508818099</v>
      </c>
    </row>
    <row r="410" spans="1:10" hidden="1" x14ac:dyDescent="0.2">
      <c r="A410" s="19" t="s">
        <v>27</v>
      </c>
      <c r="B410" t="s">
        <v>21</v>
      </c>
      <c r="C410" t="s">
        <v>204</v>
      </c>
      <c r="D410">
        <v>-5.3335521959459398E-2</v>
      </c>
      <c r="E410">
        <v>1.15764042754817</v>
      </c>
      <c r="F410">
        <v>-4.6072615200923303E-2</v>
      </c>
      <c r="G410">
        <v>-2.3495098211219698</v>
      </c>
      <c r="H410">
        <v>2.2428387772030498</v>
      </c>
      <c r="I410">
        <v>0.963342455741242</v>
      </c>
    </row>
    <row r="411" spans="1:10" hidden="1" x14ac:dyDescent="0.2">
      <c r="A411" s="19" t="s">
        <v>27</v>
      </c>
      <c r="B411" t="s">
        <v>21</v>
      </c>
      <c r="C411" t="s">
        <v>28</v>
      </c>
      <c r="D411">
        <v>-0.25839739195945899</v>
      </c>
      <c r="E411">
        <v>0.53133888094139403</v>
      </c>
      <c r="F411">
        <v>-0.48631372788237498</v>
      </c>
      <c r="G411">
        <v>-1.31230554299682</v>
      </c>
      <c r="H411">
        <v>0.79551075907790203</v>
      </c>
      <c r="I411">
        <v>0.62778797487069404</v>
      </c>
    </row>
    <row r="412" spans="1:10" hidden="1" x14ac:dyDescent="0.2">
      <c r="A412" s="19" t="s">
        <v>27</v>
      </c>
      <c r="B412" t="s">
        <v>11</v>
      </c>
      <c r="C412" t="s">
        <v>32</v>
      </c>
      <c r="D412">
        <v>-0.30276334173619301</v>
      </c>
      <c r="E412">
        <v>0.24570271782869499</v>
      </c>
      <c r="F412">
        <v>-1.2322344026624901</v>
      </c>
      <c r="G412">
        <v>-0.79011351756542303</v>
      </c>
      <c r="H412">
        <v>0.184586834093038</v>
      </c>
      <c r="I412">
        <v>0.220694463705077</v>
      </c>
    </row>
    <row r="413" spans="1:10" hidden="1" x14ac:dyDescent="0.2">
      <c r="A413" s="19" t="s">
        <v>27</v>
      </c>
      <c r="B413" t="s">
        <v>11</v>
      </c>
      <c r="C413" s="11" t="s">
        <v>35</v>
      </c>
      <c r="D413" s="11">
        <v>-1.12256723704054</v>
      </c>
      <c r="E413" s="11">
        <v>0.52833005497930996</v>
      </c>
      <c r="F413" s="11">
        <v>-2.1247461250041901</v>
      </c>
      <c r="G413" s="11">
        <v>-2.1705073960482699</v>
      </c>
      <c r="H413" s="11">
        <v>-7.4627078032813501E-2</v>
      </c>
      <c r="I413" s="11">
        <v>3.6023979541457703E-2</v>
      </c>
      <c r="J413" s="11" t="s">
        <v>61</v>
      </c>
    </row>
    <row r="414" spans="1:10" hidden="1" x14ac:dyDescent="0.2">
      <c r="A414" s="19" t="s">
        <v>27</v>
      </c>
      <c r="B414" t="s">
        <v>11</v>
      </c>
      <c r="C414" t="s">
        <v>204</v>
      </c>
      <c r="D414">
        <v>-1.29486349204054</v>
      </c>
      <c r="E414">
        <v>1.03614048459887</v>
      </c>
      <c r="F414">
        <v>-1.2496987727893201</v>
      </c>
      <c r="G414">
        <v>-3.3500432304474299</v>
      </c>
      <c r="H414">
        <v>0.76031624636635697</v>
      </c>
      <c r="I414">
        <v>0.21426950070304601</v>
      </c>
    </row>
    <row r="415" spans="1:10" hidden="1" x14ac:dyDescent="0.2">
      <c r="A415" s="19" t="s">
        <v>27</v>
      </c>
      <c r="B415" t="s">
        <v>11</v>
      </c>
      <c r="C415" t="s">
        <v>28</v>
      </c>
      <c r="D415">
        <v>-0.28675773824054102</v>
      </c>
      <c r="E415">
        <v>0.47557230421786101</v>
      </c>
      <c r="F415">
        <v>-0.60297400773190601</v>
      </c>
      <c r="G415">
        <v>-1.23005314876049</v>
      </c>
      <c r="H415">
        <v>0.65653767227940996</v>
      </c>
      <c r="I415">
        <v>0.54786434602543299</v>
      </c>
    </row>
    <row r="416" spans="1:10" hidden="1" x14ac:dyDescent="0.2">
      <c r="A416" s="19" t="s">
        <v>27</v>
      </c>
      <c r="B416" t="s">
        <v>13</v>
      </c>
      <c r="C416" t="s">
        <v>32</v>
      </c>
      <c r="D416">
        <v>-9.3022213378965907E-2</v>
      </c>
      <c r="E416">
        <v>0.244135402083551</v>
      </c>
      <c r="F416">
        <v>-0.38102713733885601</v>
      </c>
      <c r="G416">
        <v>-0.57726362585903102</v>
      </c>
      <c r="H416">
        <v>0.39121919910109998</v>
      </c>
      <c r="I416">
        <v>0.70397557606907002</v>
      </c>
    </row>
    <row r="417" spans="1:10" hidden="1" x14ac:dyDescent="0.2">
      <c r="A417" s="19" t="s">
        <v>27</v>
      </c>
      <c r="B417" t="s">
        <v>13</v>
      </c>
      <c r="C417" s="20" t="s">
        <v>35</v>
      </c>
      <c r="D417" s="20">
        <v>-0.99291956977026996</v>
      </c>
      <c r="E417" s="20">
        <v>0.52495988463231702</v>
      </c>
      <c r="F417" s="20">
        <v>-1.8914198948091301</v>
      </c>
      <c r="G417" s="20">
        <v>-2.0341750118741899</v>
      </c>
      <c r="H417" s="20">
        <v>4.83358723336458E-2</v>
      </c>
      <c r="I417" s="20">
        <v>6.1405237972152901E-2</v>
      </c>
      <c r="J417" s="20" t="s">
        <v>200</v>
      </c>
    </row>
    <row r="418" spans="1:10" hidden="1" x14ac:dyDescent="0.2">
      <c r="A418" s="19" t="s">
        <v>27</v>
      </c>
      <c r="B418" t="s">
        <v>13</v>
      </c>
      <c r="C418" t="s">
        <v>204</v>
      </c>
      <c r="D418">
        <v>-0.60391208477027003</v>
      </c>
      <c r="E418">
        <v>1.02953103676677</v>
      </c>
      <c r="F418">
        <v>-0.58658948900350705</v>
      </c>
      <c r="G418">
        <v>-2.64598201474048</v>
      </c>
      <c r="H418">
        <v>1.4381578451999399</v>
      </c>
      <c r="I418">
        <v>0.55877543565367704</v>
      </c>
    </row>
    <row r="419" spans="1:10" hidden="1" x14ac:dyDescent="0.2">
      <c r="A419" s="19" t="s">
        <v>27</v>
      </c>
      <c r="B419" t="s">
        <v>13</v>
      </c>
      <c r="C419" t="s">
        <v>28</v>
      </c>
      <c r="D419">
        <v>-0.24025679377027001</v>
      </c>
      <c r="E419">
        <v>0.472538670862308</v>
      </c>
      <c r="F419">
        <v>-0.50843837464527497</v>
      </c>
      <c r="G419">
        <v>-1.17753500691326</v>
      </c>
      <c r="H419">
        <v>0.697021419372722</v>
      </c>
      <c r="I419">
        <v>0.61224386628940197</v>
      </c>
    </row>
    <row r="420" spans="1:10" hidden="1" x14ac:dyDescent="0.2">
      <c r="A420" s="19" t="s">
        <v>27</v>
      </c>
      <c r="B420" t="s">
        <v>17</v>
      </c>
      <c r="C420" t="s">
        <v>32</v>
      </c>
      <c r="D420">
        <v>0.15323617924970601</v>
      </c>
      <c r="E420">
        <v>0.28142589123574402</v>
      </c>
      <c r="F420">
        <v>0.54449922349661795</v>
      </c>
      <c r="G420">
        <v>-0.404970741653224</v>
      </c>
      <c r="H420">
        <v>0.71144310015263701</v>
      </c>
      <c r="I420">
        <v>0.58728640450564296</v>
      </c>
    </row>
    <row r="421" spans="1:10" hidden="1" x14ac:dyDescent="0.2">
      <c r="A421" s="19" t="s">
        <v>27</v>
      </c>
      <c r="B421" t="s">
        <v>17</v>
      </c>
      <c r="C421" t="s">
        <v>35</v>
      </c>
      <c r="D421">
        <v>-0.289242265445946</v>
      </c>
      <c r="E421">
        <v>0.60514494061415303</v>
      </c>
      <c r="F421">
        <v>-0.47797188083965098</v>
      </c>
      <c r="G421">
        <v>-1.48954438589743</v>
      </c>
      <c r="H421">
        <v>0.91105985500554298</v>
      </c>
      <c r="I421">
        <v>0.63369299775528898</v>
      </c>
    </row>
    <row r="422" spans="1:10" hidden="1" x14ac:dyDescent="0.2">
      <c r="A422" s="19" t="s">
        <v>27</v>
      </c>
      <c r="B422" t="s">
        <v>17</v>
      </c>
      <c r="C422" t="s">
        <v>204</v>
      </c>
      <c r="D422">
        <v>-0.18415505544594599</v>
      </c>
      <c r="E422">
        <v>1.1867868695167401</v>
      </c>
      <c r="F422">
        <v>-0.15517112648957301</v>
      </c>
      <c r="G422">
        <v>-2.53814118405707</v>
      </c>
      <c r="H422">
        <v>2.16983107316518</v>
      </c>
      <c r="I422">
        <v>0.87699306340838201</v>
      </c>
    </row>
    <row r="423" spans="1:10" hidden="1" x14ac:dyDescent="0.2">
      <c r="A423" s="19" t="s">
        <v>27</v>
      </c>
      <c r="B423" t="s">
        <v>17</v>
      </c>
      <c r="C423" t="s">
        <v>28</v>
      </c>
      <c r="D423">
        <v>-0.29628115104594599</v>
      </c>
      <c r="E423">
        <v>0.54471664271479603</v>
      </c>
      <c r="F423">
        <v>-0.54391793422965695</v>
      </c>
      <c r="G423">
        <v>-1.3767240291310301</v>
      </c>
      <c r="H423">
        <v>0.784161727039142</v>
      </c>
      <c r="I423">
        <v>0.58768489737688001</v>
      </c>
    </row>
    <row r="424" spans="1:10" hidden="1" x14ac:dyDescent="0.2">
      <c r="A424" s="19" t="s">
        <v>27</v>
      </c>
      <c r="B424" t="s">
        <v>26</v>
      </c>
      <c r="C424" t="s">
        <v>32</v>
      </c>
      <c r="D424">
        <v>6.2683686773795197E-2</v>
      </c>
      <c r="E424">
        <v>0.28877916773989898</v>
      </c>
      <c r="F424">
        <v>0.21706443461411301</v>
      </c>
      <c r="G424">
        <v>-0.51010842321002903</v>
      </c>
      <c r="H424">
        <v>0.635475796757619</v>
      </c>
      <c r="I424">
        <v>0.82859171602986104</v>
      </c>
    </row>
    <row r="425" spans="1:10" hidden="1" x14ac:dyDescent="0.2">
      <c r="A425" s="19" t="s">
        <v>27</v>
      </c>
      <c r="B425" t="s">
        <v>26</v>
      </c>
      <c r="C425" t="s">
        <v>35</v>
      </c>
      <c r="D425">
        <v>-0.22199377212837801</v>
      </c>
      <c r="E425">
        <v>0.62095655643204195</v>
      </c>
      <c r="F425">
        <v>-0.35750290391317202</v>
      </c>
      <c r="G425">
        <v>-1.4536581575848699</v>
      </c>
      <c r="H425">
        <v>1.0096706133281099</v>
      </c>
      <c r="I425">
        <v>0.72145401476929205</v>
      </c>
    </row>
    <row r="426" spans="1:10" hidden="1" x14ac:dyDescent="0.2">
      <c r="A426" s="19" t="s">
        <v>27</v>
      </c>
      <c r="B426" t="s">
        <v>26</v>
      </c>
      <c r="C426" t="s">
        <v>204</v>
      </c>
      <c r="D426">
        <v>-0.406444968878378</v>
      </c>
      <c r="E426">
        <v>1.21779599936168</v>
      </c>
      <c r="F426">
        <v>-0.333754560773251</v>
      </c>
      <c r="G426">
        <v>-2.8219375595091098</v>
      </c>
      <c r="H426">
        <v>2.0090476217523499</v>
      </c>
      <c r="I426">
        <v>0.73924994475393502</v>
      </c>
    </row>
    <row r="427" spans="1:10" hidden="1" x14ac:dyDescent="0.2">
      <c r="A427" s="19" t="s">
        <v>27</v>
      </c>
      <c r="B427" t="s">
        <v>26</v>
      </c>
      <c r="C427" t="s">
        <v>28</v>
      </c>
      <c r="D427">
        <v>-0.34691007487837799</v>
      </c>
      <c r="E427">
        <v>0.55894934913960004</v>
      </c>
      <c r="F427">
        <v>-0.62064671049779996</v>
      </c>
      <c r="G427">
        <v>-1.4555834586735801</v>
      </c>
      <c r="H427">
        <v>0.76176330891682498</v>
      </c>
      <c r="I427">
        <v>0.53621644518638401</v>
      </c>
    </row>
    <row r="428" spans="1:10" hidden="1" x14ac:dyDescent="0.2">
      <c r="A428" s="19" t="s">
        <v>27</v>
      </c>
      <c r="B428" t="s">
        <v>9</v>
      </c>
      <c r="C428" s="11" t="s">
        <v>32</v>
      </c>
      <c r="D428" s="11">
        <v>-0.49233566046063398</v>
      </c>
      <c r="E428" s="11">
        <v>0.20764807600572699</v>
      </c>
      <c r="F428" s="11">
        <v>-2.3710099796304198</v>
      </c>
      <c r="G428" s="11">
        <v>-0.90420463466769796</v>
      </c>
      <c r="H428" s="11">
        <v>-8.0466686253571201E-2</v>
      </c>
      <c r="I428" s="11">
        <v>1.9617699223055798E-2</v>
      </c>
      <c r="J428" s="11" t="s">
        <v>61</v>
      </c>
    </row>
    <row r="429" spans="1:10" hidden="1" x14ac:dyDescent="0.2">
      <c r="A429" s="19" t="s">
        <v>27</v>
      </c>
      <c r="B429" t="s">
        <v>9</v>
      </c>
      <c r="C429" s="11" t="s">
        <v>35</v>
      </c>
      <c r="D429" s="11">
        <v>-0.89468849099324299</v>
      </c>
      <c r="E429" s="11">
        <v>0.44650185550223098</v>
      </c>
      <c r="F429" s="11">
        <v>-2.0037732877658199</v>
      </c>
      <c r="G429" s="11">
        <v>-1.7803228043214501</v>
      </c>
      <c r="H429" s="11">
        <v>-9.0541776650404603E-3</v>
      </c>
      <c r="I429" s="11">
        <v>4.7746050333081103E-2</v>
      </c>
      <c r="J429" s="11" t="s">
        <v>61</v>
      </c>
    </row>
    <row r="430" spans="1:10" hidden="1" x14ac:dyDescent="0.2">
      <c r="A430" s="19" t="s">
        <v>27</v>
      </c>
      <c r="B430" t="s">
        <v>9</v>
      </c>
      <c r="C430" t="s">
        <v>204</v>
      </c>
      <c r="D430">
        <v>-0.55014699424324298</v>
      </c>
      <c r="E430">
        <v>0.87566218233125404</v>
      </c>
      <c r="F430">
        <v>-0.62826396451037703</v>
      </c>
      <c r="G430">
        <v>-2.2870187810001101</v>
      </c>
      <c r="H430">
        <v>1.18672479251362</v>
      </c>
      <c r="I430">
        <v>0.531235279963019</v>
      </c>
    </row>
    <row r="431" spans="1:10" hidden="1" x14ac:dyDescent="0.2">
      <c r="A431" s="19" t="s">
        <v>27</v>
      </c>
      <c r="B431" t="s">
        <v>9</v>
      </c>
      <c r="C431" t="s">
        <v>28</v>
      </c>
      <c r="D431">
        <v>-0.145283533243243</v>
      </c>
      <c r="E431">
        <v>0.40191526917214998</v>
      </c>
      <c r="F431">
        <v>-0.36147801386718398</v>
      </c>
      <c r="G431">
        <v>-0.94248056399022595</v>
      </c>
      <c r="H431">
        <v>0.65191349750373995</v>
      </c>
      <c r="I431">
        <v>0.71848983413464396</v>
      </c>
    </row>
    <row r="432" spans="1:10" hidden="1" x14ac:dyDescent="0.2">
      <c r="A432" s="7" t="s">
        <v>8</v>
      </c>
      <c r="B432" t="s">
        <v>18</v>
      </c>
      <c r="C432" s="20" t="s">
        <v>8</v>
      </c>
      <c r="D432" s="20">
        <v>-0.38661883737428299</v>
      </c>
      <c r="E432" s="20">
        <v>0.20969441989330501</v>
      </c>
      <c r="F432" s="20">
        <v>-1.84372496688753</v>
      </c>
      <c r="G432" s="20">
        <v>-0.80240413596832105</v>
      </c>
      <c r="H432" s="20">
        <v>2.9166461219754001E-2</v>
      </c>
      <c r="I432" s="20">
        <v>6.8043202985375098E-2</v>
      </c>
      <c r="J432" s="20" t="s">
        <v>200</v>
      </c>
    </row>
    <row r="433" spans="1:10" hidden="1" x14ac:dyDescent="0.2">
      <c r="A433" s="7" t="s">
        <v>8</v>
      </c>
      <c r="B433" t="s">
        <v>25</v>
      </c>
      <c r="C433" t="s">
        <v>8</v>
      </c>
      <c r="D433">
        <v>-0.15649090647092501</v>
      </c>
      <c r="E433">
        <v>0.22218093625431101</v>
      </c>
      <c r="F433">
        <v>-0.70433993622118996</v>
      </c>
      <c r="G433">
        <v>-0.597034660422057</v>
      </c>
      <c r="H433">
        <v>0.28405284748020598</v>
      </c>
      <c r="I433">
        <v>0.48278034680327198</v>
      </c>
    </row>
    <row r="434" spans="1:10" hidden="1" x14ac:dyDescent="0.2">
      <c r="A434" s="7" t="s">
        <v>8</v>
      </c>
      <c r="B434" t="s">
        <v>14</v>
      </c>
      <c r="C434" s="20" t="s">
        <v>8</v>
      </c>
      <c r="D434" s="20">
        <v>-0.40868306665561099</v>
      </c>
      <c r="E434" s="20">
        <v>0.20792812320201501</v>
      </c>
      <c r="F434" s="20">
        <v>-1.9655016375949801</v>
      </c>
      <c r="G434" s="20">
        <v>-0.82096612519210399</v>
      </c>
      <c r="H434" s="20">
        <v>3.5999918808828899E-3</v>
      </c>
      <c r="I434" s="20">
        <v>5.1997261974569498E-2</v>
      </c>
      <c r="J434" s="20" t="s">
        <v>200</v>
      </c>
    </row>
    <row r="435" spans="1:10" hidden="1" x14ac:dyDescent="0.2">
      <c r="A435" s="7" t="s">
        <v>8</v>
      </c>
      <c r="B435" t="s">
        <v>7</v>
      </c>
      <c r="C435" t="s">
        <v>8</v>
      </c>
      <c r="D435">
        <v>-0.23201462707616699</v>
      </c>
      <c r="E435">
        <v>0.18983479442086201</v>
      </c>
      <c r="F435">
        <v>-1.22219231613459</v>
      </c>
      <c r="G435">
        <v>-0.60842195695159595</v>
      </c>
      <c r="H435">
        <v>0.144392702799262</v>
      </c>
      <c r="I435">
        <v>0.224371468838646</v>
      </c>
    </row>
    <row r="436" spans="1:10" hidden="1" x14ac:dyDescent="0.2">
      <c r="A436" s="7" t="s">
        <v>8</v>
      </c>
      <c r="B436" t="s">
        <v>21</v>
      </c>
      <c r="C436" t="s">
        <v>8</v>
      </c>
      <c r="D436">
        <v>0.169946003040541</v>
      </c>
      <c r="E436">
        <v>0.239992395020201</v>
      </c>
      <c r="F436">
        <v>0.70813078483689296</v>
      </c>
      <c r="G436">
        <v>-0.30591458340016803</v>
      </c>
      <c r="H436">
        <v>0.64580658948125003</v>
      </c>
      <c r="I436">
        <v>0.48043307405067098</v>
      </c>
    </row>
    <row r="437" spans="1:10" hidden="1" x14ac:dyDescent="0.2">
      <c r="A437" s="7" t="s">
        <v>8</v>
      </c>
      <c r="B437" t="s">
        <v>11</v>
      </c>
      <c r="C437" s="11" t="s">
        <v>8</v>
      </c>
      <c r="D437" s="11">
        <v>-0.42977206034357102</v>
      </c>
      <c r="E437" s="11">
        <v>0.215403158308418</v>
      </c>
      <c r="F437" s="11">
        <v>-1.9951985092447699</v>
      </c>
      <c r="G437" s="11">
        <v>-0.85687673266119602</v>
      </c>
      <c r="H437" s="11">
        <v>-2.6673880259459599E-3</v>
      </c>
      <c r="I437" s="11">
        <v>4.8611843109288899E-2</v>
      </c>
      <c r="J437" s="11" t="s">
        <v>61</v>
      </c>
    </row>
    <row r="438" spans="1:10" hidden="1" x14ac:dyDescent="0.2">
      <c r="A438" s="7" t="s">
        <v>8</v>
      </c>
      <c r="B438" t="s">
        <v>13</v>
      </c>
      <c r="C438" t="s">
        <v>8</v>
      </c>
      <c r="D438">
        <v>-0.23989046183087601</v>
      </c>
      <c r="E438">
        <v>0.21382943720030201</v>
      </c>
      <c r="F438">
        <v>-1.1218776281310701</v>
      </c>
      <c r="G438">
        <v>-0.66387473589863499</v>
      </c>
      <c r="H438">
        <v>0.18409381223688201</v>
      </c>
      <c r="I438">
        <v>0.26447348756639699</v>
      </c>
    </row>
    <row r="439" spans="1:10" hidden="1" x14ac:dyDescent="0.2">
      <c r="A439" s="7" t="s">
        <v>8</v>
      </c>
      <c r="B439" t="s">
        <v>17</v>
      </c>
      <c r="C439" t="s">
        <v>8</v>
      </c>
      <c r="D439">
        <v>2.1269765160114699E-2</v>
      </c>
      <c r="E439">
        <v>0.244351147937208</v>
      </c>
      <c r="F439">
        <v>8.7045898247960996E-2</v>
      </c>
      <c r="G439">
        <v>-0.46323342313913501</v>
      </c>
      <c r="H439">
        <v>0.50577295345936502</v>
      </c>
      <c r="I439">
        <v>0.93080081426549599</v>
      </c>
    </row>
    <row r="440" spans="1:10" hidden="1" x14ac:dyDescent="0.2">
      <c r="A440" s="7" t="s">
        <v>8</v>
      </c>
      <c r="B440" t="s">
        <v>26</v>
      </c>
      <c r="C440" t="s">
        <v>8</v>
      </c>
      <c r="D440">
        <v>-4.8098352605650999E-2</v>
      </c>
      <c r="E440">
        <v>0.250381734456806</v>
      </c>
      <c r="F440">
        <v>-0.19210008553538699</v>
      </c>
      <c r="G440">
        <v>-0.54455907996590103</v>
      </c>
      <c r="H440">
        <v>0.448362374754599</v>
      </c>
      <c r="I440">
        <v>0.84803483517886202</v>
      </c>
    </row>
    <row r="441" spans="1:10" hidden="1" x14ac:dyDescent="0.2">
      <c r="A441" s="7" t="s">
        <v>8</v>
      </c>
      <c r="B441" t="s">
        <v>9</v>
      </c>
      <c r="C441" s="11" t="s">
        <v>8</v>
      </c>
      <c r="D441" s="11">
        <v>-0.49027390348566802</v>
      </c>
      <c r="E441" s="11">
        <v>0.18090216837447001</v>
      </c>
      <c r="F441" s="11">
        <v>-2.7101604579487</v>
      </c>
      <c r="G441" s="11">
        <v>-0.84896948600121103</v>
      </c>
      <c r="H441" s="11">
        <v>-0.13157832097012501</v>
      </c>
      <c r="I441" s="11">
        <v>7.8563908347733004E-3</v>
      </c>
      <c r="J441" s="11" t="s">
        <v>61</v>
      </c>
    </row>
    <row r="442" spans="1:10" hidden="1" x14ac:dyDescent="0.2">
      <c r="A442" s="83" t="s">
        <v>234</v>
      </c>
      <c r="B442" s="15" t="s">
        <v>18</v>
      </c>
      <c r="C442" s="11" t="s">
        <v>234</v>
      </c>
      <c r="D442" s="11">
        <v>0.114233113253391</v>
      </c>
      <c r="E442" s="11">
        <v>4.5896418062569798E-2</v>
      </c>
      <c r="F442" s="11">
        <v>2.48893308182915</v>
      </c>
      <c r="G442" s="11">
        <v>2.32289945064444E-2</v>
      </c>
      <c r="H442" s="11">
        <v>0.205237232000337</v>
      </c>
      <c r="I442" s="11">
        <v>1.438332398049E-2</v>
      </c>
      <c r="J442" s="11" t="s">
        <v>61</v>
      </c>
    </row>
    <row r="443" spans="1:10" hidden="1" x14ac:dyDescent="0.2">
      <c r="A443" s="83" t="s">
        <v>234</v>
      </c>
      <c r="B443" s="12" t="s">
        <v>25</v>
      </c>
      <c r="C443" s="11" t="s">
        <v>234</v>
      </c>
      <c r="D443" s="11">
        <v>0.114356196838753</v>
      </c>
      <c r="E443" s="11">
        <v>4.8090714088036501E-2</v>
      </c>
      <c r="F443" s="11">
        <v>2.3779267787417102</v>
      </c>
      <c r="G443" s="11">
        <v>1.9001194417283599E-2</v>
      </c>
      <c r="H443" s="11">
        <v>0.209711199260223</v>
      </c>
      <c r="I443" s="11">
        <v>1.9218921846554601E-2</v>
      </c>
      <c r="J443" s="11" t="s">
        <v>61</v>
      </c>
    </row>
    <row r="444" spans="1:10" hidden="1" x14ac:dyDescent="0.2">
      <c r="A444" s="83" t="s">
        <v>234</v>
      </c>
      <c r="B444" s="34" t="s">
        <v>14</v>
      </c>
      <c r="C444" s="20" t="s">
        <v>234</v>
      </c>
      <c r="D444" s="20">
        <v>9.1337463538254005E-2</v>
      </c>
      <c r="E444" s="20">
        <v>4.6078961128203998E-2</v>
      </c>
      <c r="F444" s="20">
        <v>1.98219450486587</v>
      </c>
      <c r="G444" s="114">
        <v>-2.8604387357231098E-5</v>
      </c>
      <c r="H444" s="20">
        <v>0.182703531463865</v>
      </c>
      <c r="I444" s="20">
        <v>5.00704664483883E-2</v>
      </c>
      <c r="J444" s="20" t="s">
        <v>200</v>
      </c>
    </row>
    <row r="445" spans="1:10" hidden="1" x14ac:dyDescent="0.2">
      <c r="A445" s="83" t="s">
        <v>234</v>
      </c>
      <c r="B445" s="3" t="s">
        <v>7</v>
      </c>
      <c r="C445" s="11" t="s">
        <v>234</v>
      </c>
      <c r="D445" s="11">
        <v>0.12334069233690199</v>
      </c>
      <c r="E445" s="11">
        <v>4.0635025721160602E-2</v>
      </c>
      <c r="F445" s="11">
        <v>3.0353295007925301</v>
      </c>
      <c r="G445" s="11">
        <v>4.27689426859299E-2</v>
      </c>
      <c r="H445" s="11">
        <v>0.203912441987874</v>
      </c>
      <c r="I445" s="11">
        <v>3.0296090279921801E-3</v>
      </c>
      <c r="J445" s="11" t="s">
        <v>61</v>
      </c>
    </row>
    <row r="446" spans="1:10" hidden="1" x14ac:dyDescent="0.2">
      <c r="A446" s="83" t="s">
        <v>234</v>
      </c>
      <c r="B446" s="9" t="s">
        <v>21</v>
      </c>
      <c r="C446" t="s">
        <v>234</v>
      </c>
      <c r="D446">
        <v>4.9783843957580301E-2</v>
      </c>
      <c r="E446">
        <v>5.3105932139003401E-2</v>
      </c>
      <c r="F446">
        <v>0.93744412257509002</v>
      </c>
      <c r="G446">
        <v>-5.5515409416758997E-2</v>
      </c>
      <c r="H446">
        <v>0.15508309733191999</v>
      </c>
      <c r="I446">
        <v>0.35068143492405102</v>
      </c>
    </row>
    <row r="447" spans="1:10" hidden="1" x14ac:dyDescent="0.2">
      <c r="A447" s="83" t="s">
        <v>234</v>
      </c>
      <c r="B447" s="13" t="s">
        <v>11</v>
      </c>
      <c r="C447" s="11" t="s">
        <v>234</v>
      </c>
      <c r="D447" s="11">
        <v>0.15136128795015499</v>
      </c>
      <c r="E447" s="11">
        <v>4.6349840667132998E-2</v>
      </c>
      <c r="F447" s="11">
        <v>3.26562693143164</v>
      </c>
      <c r="G447" s="11">
        <v>5.9458115937396902E-2</v>
      </c>
      <c r="H447" s="11">
        <v>0.24326445996291299</v>
      </c>
      <c r="I447" s="11">
        <v>1.4754832656443399E-3</v>
      </c>
      <c r="J447" s="11" t="s">
        <v>61</v>
      </c>
    </row>
    <row r="448" spans="1:10" hidden="1" x14ac:dyDescent="0.2">
      <c r="A448" s="83" t="s">
        <v>234</v>
      </c>
      <c r="B448" s="14" t="s">
        <v>13</v>
      </c>
      <c r="C448" s="11" t="s">
        <v>234</v>
      </c>
      <c r="D448" s="11">
        <v>0.11272626575321</v>
      </c>
      <c r="E448" s="11">
        <v>4.63980069700239E-2</v>
      </c>
      <c r="F448" s="11">
        <v>2.42954973962649</v>
      </c>
      <c r="G448" s="11">
        <v>2.07275888593971E-2</v>
      </c>
      <c r="H448" s="11">
        <v>0.20472494264702201</v>
      </c>
      <c r="I448" s="11">
        <v>1.6814737403730899E-2</v>
      </c>
      <c r="J448" s="11" t="s">
        <v>61</v>
      </c>
    </row>
    <row r="449" spans="1:10" hidden="1" x14ac:dyDescent="0.2">
      <c r="A449" s="83" t="s">
        <v>234</v>
      </c>
      <c r="B449" s="127" t="s">
        <v>17</v>
      </c>
      <c r="C449" t="s">
        <v>234</v>
      </c>
      <c r="D449">
        <v>7.3599483298909293E-2</v>
      </c>
      <c r="E449">
        <v>5.3690710177365E-2</v>
      </c>
      <c r="F449">
        <v>1.37080480134788</v>
      </c>
      <c r="G449">
        <v>-3.2859276901673298E-2</v>
      </c>
      <c r="H449">
        <v>0.18005824349949201</v>
      </c>
      <c r="I449">
        <v>0.17335893813952499</v>
      </c>
    </row>
    <row r="450" spans="1:10" hidden="1" x14ac:dyDescent="0.2">
      <c r="A450" s="83" t="s">
        <v>234</v>
      </c>
      <c r="B450" s="53" t="s">
        <v>26</v>
      </c>
      <c r="C450" t="s">
        <v>234</v>
      </c>
      <c r="D450">
        <v>6.5983933786090895E-2</v>
      </c>
      <c r="E450">
        <v>5.5138915875616999E-2</v>
      </c>
      <c r="F450">
        <v>1.19668536709967</v>
      </c>
      <c r="G450">
        <v>-4.3346350792582901E-2</v>
      </c>
      <c r="H450">
        <v>0.17531421836476499</v>
      </c>
      <c r="I450">
        <v>0.234124232431973</v>
      </c>
    </row>
    <row r="451" spans="1:10" hidden="1" x14ac:dyDescent="0.2">
      <c r="A451" s="83" t="s">
        <v>234</v>
      </c>
      <c r="B451" s="5" t="s">
        <v>9</v>
      </c>
      <c r="C451" s="11" t="s">
        <v>234</v>
      </c>
      <c r="D451" s="11">
        <v>8.8065903766249495E-2</v>
      </c>
      <c r="E451" s="11">
        <v>4.0580675712000497E-2</v>
      </c>
      <c r="F451" s="11">
        <v>2.1701438485462798</v>
      </c>
      <c r="G451" s="11">
        <v>7.60192014357118E-3</v>
      </c>
      <c r="H451" s="11">
        <v>0.16852988738892799</v>
      </c>
      <c r="I451" s="11">
        <v>3.2250008520392101E-2</v>
      </c>
      <c r="J451" s="11" t="s">
        <v>61</v>
      </c>
    </row>
    <row r="452" spans="1:10" hidden="1" x14ac:dyDescent="0.2">
      <c r="A452" s="113" t="s">
        <v>248</v>
      </c>
      <c r="B452" s="15" t="s">
        <v>18</v>
      </c>
      <c r="C452" s="11" t="s">
        <v>249</v>
      </c>
      <c r="D452" s="11">
        <v>-0.41051195673585</v>
      </c>
      <c r="E452" s="11">
        <v>0.192687762630849</v>
      </c>
      <c r="F452" s="11">
        <v>-2.13045162355384</v>
      </c>
      <c r="G452" s="11">
        <v>-0.79257619555369196</v>
      </c>
      <c r="H452" s="11">
        <v>-2.8447717918007199E-2</v>
      </c>
      <c r="I452" s="11">
        <v>3.5469514838424303E-2</v>
      </c>
      <c r="J452" s="11" t="s">
        <v>61</v>
      </c>
    </row>
    <row r="453" spans="1:10" hidden="1" x14ac:dyDescent="0.2">
      <c r="A453" s="113" t="s">
        <v>248</v>
      </c>
      <c r="B453" s="12" t="s">
        <v>25</v>
      </c>
      <c r="C453" s="11" t="s">
        <v>249</v>
      </c>
      <c r="D453" s="11">
        <v>-0.46159325320650002</v>
      </c>
      <c r="E453" s="11">
        <v>0.200723453359611</v>
      </c>
      <c r="F453" s="11">
        <v>-2.2996478263031901</v>
      </c>
      <c r="G453" s="11">
        <v>-0.85959078233682396</v>
      </c>
      <c r="H453" s="11">
        <v>-6.3595724076175406E-2</v>
      </c>
      <c r="I453" s="11">
        <v>2.34466871743652E-2</v>
      </c>
      <c r="J453" s="11" t="s">
        <v>61</v>
      </c>
    </row>
    <row r="454" spans="1:10" hidden="1" x14ac:dyDescent="0.2">
      <c r="A454" s="113" t="s">
        <v>248</v>
      </c>
      <c r="B454" s="34" t="s">
        <v>14</v>
      </c>
      <c r="C454" s="20" t="s">
        <v>249</v>
      </c>
      <c r="D454" s="20">
        <v>-0.33468338341020298</v>
      </c>
      <c r="E454" s="20">
        <v>0.19282099807106601</v>
      </c>
      <c r="F454" s="20">
        <v>-1.73572062564915</v>
      </c>
      <c r="G454" s="20">
        <v>-0.71701180349391702</v>
      </c>
      <c r="H454" s="20">
        <v>4.76450366735112E-2</v>
      </c>
      <c r="I454" s="20">
        <v>8.5546832345276394E-2</v>
      </c>
      <c r="J454" s="20" t="s">
        <v>200</v>
      </c>
    </row>
    <row r="455" spans="1:10" hidden="1" x14ac:dyDescent="0.2">
      <c r="A455" s="113" t="s">
        <v>248</v>
      </c>
      <c r="B455" s="3" t="s">
        <v>7</v>
      </c>
      <c r="C455" s="20" t="s">
        <v>249</v>
      </c>
      <c r="D455" s="20">
        <v>-0.30851301306533901</v>
      </c>
      <c r="E455" s="20">
        <v>0.174010701052628</v>
      </c>
      <c r="F455" s="20">
        <v>-1.7729542562559599</v>
      </c>
      <c r="G455" s="20">
        <v>-0.65354408891627302</v>
      </c>
      <c r="H455" s="20">
        <v>3.6518062785594801E-2</v>
      </c>
      <c r="I455" s="20">
        <v>7.9136029901013497E-2</v>
      </c>
      <c r="J455" s="20" t="s">
        <v>200</v>
      </c>
    </row>
    <row r="456" spans="1:10" hidden="1" x14ac:dyDescent="0.2">
      <c r="A456" s="113" t="s">
        <v>248</v>
      </c>
      <c r="B456" s="9" t="s">
        <v>21</v>
      </c>
      <c r="C456" t="s">
        <v>249</v>
      </c>
      <c r="D456">
        <v>-9.8529224816911704E-2</v>
      </c>
      <c r="E456">
        <v>0.22200517008052301</v>
      </c>
      <c r="F456">
        <v>-0.44381500116044398</v>
      </c>
      <c r="G456">
        <v>-0.53872446691403897</v>
      </c>
      <c r="H456">
        <v>0.34166601728021601</v>
      </c>
      <c r="I456">
        <v>0.65808959158680302</v>
      </c>
    </row>
    <row r="457" spans="1:10" hidden="1" x14ac:dyDescent="0.2">
      <c r="A457" s="113" t="s">
        <v>248</v>
      </c>
      <c r="B457" s="13" t="s">
        <v>11</v>
      </c>
      <c r="C457" s="20" t="s">
        <v>249</v>
      </c>
      <c r="D457" s="20">
        <v>-0.36484050217575198</v>
      </c>
      <c r="E457" s="20">
        <v>0.19955638720192301</v>
      </c>
      <c r="F457" s="20">
        <v>-1.82825770345594</v>
      </c>
      <c r="G457" s="20">
        <v>-0.76052395470308298</v>
      </c>
      <c r="H457" s="20">
        <v>3.0842950351579902E-2</v>
      </c>
      <c r="I457" s="20">
        <v>7.0349939163853903E-2</v>
      </c>
      <c r="J457" s="20" t="s">
        <v>200</v>
      </c>
    </row>
    <row r="458" spans="1:10" hidden="1" x14ac:dyDescent="0.2">
      <c r="A458" s="113" t="s">
        <v>248</v>
      </c>
      <c r="B458" s="14" t="s">
        <v>13</v>
      </c>
      <c r="C458" s="11" t="s">
        <v>249</v>
      </c>
      <c r="D458" s="11">
        <v>-0.42342406876939298</v>
      </c>
      <c r="E458" s="11">
        <v>0.19435350979545199</v>
      </c>
      <c r="F458" s="11">
        <v>-2.1786283623847398</v>
      </c>
      <c r="G458" s="11">
        <v>-0.80879117650749</v>
      </c>
      <c r="H458" s="11">
        <v>-3.80569610312953E-2</v>
      </c>
      <c r="I458" s="11">
        <v>3.15957425321087E-2</v>
      </c>
      <c r="J458" s="11" t="s">
        <v>61</v>
      </c>
    </row>
    <row r="459" spans="1:10" hidden="1" x14ac:dyDescent="0.2">
      <c r="A459" s="113" t="s">
        <v>248</v>
      </c>
      <c r="B459" s="127" t="s">
        <v>17</v>
      </c>
      <c r="C459" t="s">
        <v>249</v>
      </c>
      <c r="D459">
        <v>-0.22611597192767299</v>
      </c>
      <c r="E459">
        <v>0.224637748067263</v>
      </c>
      <c r="F459">
        <v>-1.0065804784508801</v>
      </c>
      <c r="G459">
        <v>-0.67153112986636698</v>
      </c>
      <c r="H459">
        <v>0.21929918601102</v>
      </c>
      <c r="I459">
        <v>0.31645046149995898</v>
      </c>
    </row>
    <row r="460" spans="1:10" hidden="1" x14ac:dyDescent="0.2">
      <c r="A460" s="113" t="s">
        <v>248</v>
      </c>
      <c r="B460" s="53" t="s">
        <v>26</v>
      </c>
      <c r="C460" t="s">
        <v>249</v>
      </c>
      <c r="D460">
        <v>-0.202584022295248</v>
      </c>
      <c r="E460">
        <v>0.230475624765378</v>
      </c>
      <c r="F460">
        <v>-0.878982419513895</v>
      </c>
      <c r="G460">
        <v>-0.65957461131749595</v>
      </c>
      <c r="H460">
        <v>0.25440656672699902</v>
      </c>
      <c r="I460">
        <v>0.381417919663119</v>
      </c>
    </row>
    <row r="461" spans="1:10" hidden="1" x14ac:dyDescent="0.2">
      <c r="A461" s="113" t="s">
        <v>248</v>
      </c>
      <c r="B461" s="5" t="s">
        <v>9</v>
      </c>
      <c r="C461" s="20" t="s">
        <v>249</v>
      </c>
      <c r="D461" s="20">
        <v>-0.31154289239063598</v>
      </c>
      <c r="E461" s="20">
        <v>0.170152884826614</v>
      </c>
      <c r="F461" s="20">
        <v>-1.83095862704943</v>
      </c>
      <c r="G461" s="20">
        <v>-0.648924631305135</v>
      </c>
      <c r="H461" s="20">
        <v>2.5838846523862698E-2</v>
      </c>
      <c r="I461" s="20">
        <v>6.9942505153374704E-2</v>
      </c>
      <c r="J461" s="20" t="s">
        <v>200</v>
      </c>
    </row>
    <row r="462" spans="1:10" hidden="1" x14ac:dyDescent="0.2">
      <c r="A462" s="80" t="s">
        <v>247</v>
      </c>
      <c r="B462" s="15" t="s">
        <v>18</v>
      </c>
      <c r="C462" s="11" t="s">
        <v>247</v>
      </c>
      <c r="D462" s="11">
        <v>0.13906188174710199</v>
      </c>
      <c r="E462" s="11">
        <v>5.9777758900232E-2</v>
      </c>
      <c r="F462" s="11">
        <v>2.32631474156122</v>
      </c>
      <c r="G462" s="11">
        <v>2.0533628366484199E-2</v>
      </c>
      <c r="H462" s="11">
        <v>0.25759013512772</v>
      </c>
      <c r="I462" s="11">
        <v>2.1922442557453601E-2</v>
      </c>
      <c r="J462" s="11" t="s">
        <v>61</v>
      </c>
    </row>
    <row r="463" spans="1:10" hidden="1" x14ac:dyDescent="0.2">
      <c r="A463" s="80" t="s">
        <v>247</v>
      </c>
      <c r="B463" s="12" t="s">
        <v>25</v>
      </c>
      <c r="C463" s="11" t="s">
        <v>247</v>
      </c>
      <c r="D463" s="11">
        <v>0.13222979585577299</v>
      </c>
      <c r="E463" s="11">
        <v>6.2760442330165395E-2</v>
      </c>
      <c r="F463" s="11">
        <v>2.1068971305228898</v>
      </c>
      <c r="G463" s="11">
        <v>7.7874322133873897E-3</v>
      </c>
      <c r="H463" s="11">
        <v>0.25667215949815803</v>
      </c>
      <c r="I463" s="11">
        <v>3.7508697155463101E-2</v>
      </c>
      <c r="J463" s="11" t="s">
        <v>61</v>
      </c>
    </row>
    <row r="464" spans="1:10" hidden="1" x14ac:dyDescent="0.2">
      <c r="A464" s="80" t="s">
        <v>247</v>
      </c>
      <c r="B464" s="34" t="s">
        <v>14</v>
      </c>
      <c r="C464" s="20" t="s">
        <v>247</v>
      </c>
      <c r="D464" s="20">
        <v>0.115563434691004</v>
      </c>
      <c r="E464" s="20">
        <v>5.9859332362414697E-2</v>
      </c>
      <c r="F464" s="20">
        <v>1.9305834216681901</v>
      </c>
      <c r="G464" s="20">
        <v>-3.1265637963659599E-3</v>
      </c>
      <c r="H464" s="20">
        <v>0.23425343317837399</v>
      </c>
      <c r="I464" s="20">
        <v>5.6231783562488702E-2</v>
      </c>
      <c r="J464" s="20" t="s">
        <v>200</v>
      </c>
    </row>
    <row r="465" spans="1:10" hidden="1" x14ac:dyDescent="0.2">
      <c r="A465" s="80" t="s">
        <v>247</v>
      </c>
      <c r="B465" s="3" t="s">
        <v>7</v>
      </c>
      <c r="C465" s="11" t="s">
        <v>247</v>
      </c>
      <c r="D465" s="11">
        <v>0.150516814219816</v>
      </c>
      <c r="E465" s="11">
        <v>5.3005851403429997E-2</v>
      </c>
      <c r="F465" s="11">
        <v>2.83962638528764</v>
      </c>
      <c r="G465" s="11">
        <v>4.5416002456583997E-2</v>
      </c>
      <c r="H465" s="11">
        <v>0.25561762598304699</v>
      </c>
      <c r="I465" s="11">
        <v>5.42454064634119E-3</v>
      </c>
      <c r="J465" s="11" t="s">
        <v>61</v>
      </c>
    </row>
    <row r="466" spans="1:10" hidden="1" x14ac:dyDescent="0.2">
      <c r="A466" s="80" t="s">
        <v>247</v>
      </c>
      <c r="B466" s="9" t="s">
        <v>21</v>
      </c>
      <c r="C466" t="s">
        <v>247</v>
      </c>
      <c r="D466">
        <v>3.4835427308995998E-2</v>
      </c>
      <c r="E466">
        <v>6.9128098293946297E-2</v>
      </c>
      <c r="F466">
        <v>0.50392572873723396</v>
      </c>
      <c r="G466">
        <v>-0.102232821836646</v>
      </c>
      <c r="H466">
        <v>0.171903676454638</v>
      </c>
      <c r="I466">
        <v>0.61536927889070503</v>
      </c>
    </row>
    <row r="467" spans="1:10" hidden="1" x14ac:dyDescent="0.2">
      <c r="A467" s="80" t="s">
        <v>247</v>
      </c>
      <c r="B467" s="13" t="s">
        <v>11</v>
      </c>
      <c r="C467" s="11" t="s">
        <v>247</v>
      </c>
      <c r="D467" s="11">
        <v>0.168369433673277</v>
      </c>
      <c r="E467" s="11">
        <v>6.0960779253745899E-2</v>
      </c>
      <c r="F467" s="11">
        <v>2.7619304696294602</v>
      </c>
      <c r="G467" s="11">
        <v>4.7495469466500899E-2</v>
      </c>
      <c r="H467" s="11">
        <v>0.28924339788005199</v>
      </c>
      <c r="I467" s="11">
        <v>6.7846443596885301E-3</v>
      </c>
      <c r="J467" s="11" t="s">
        <v>61</v>
      </c>
    </row>
    <row r="468" spans="1:10" hidden="1" x14ac:dyDescent="0.2">
      <c r="A468" s="80" t="s">
        <v>247</v>
      </c>
      <c r="B468" s="14" t="s">
        <v>13</v>
      </c>
      <c r="C468" s="20" t="s">
        <v>247</v>
      </c>
      <c r="D468" s="20">
        <v>0.105293258349637</v>
      </c>
      <c r="E468" s="20">
        <v>6.1028344980461599E-2</v>
      </c>
      <c r="F468" s="20">
        <v>1.7253172830321299</v>
      </c>
      <c r="G468" s="20">
        <v>-1.57146762120552E-2</v>
      </c>
      <c r="H468" s="20">
        <v>0.22630119291133</v>
      </c>
      <c r="I468" s="20">
        <v>8.74122971873664E-2</v>
      </c>
      <c r="J468" s="20" t="s">
        <v>200</v>
      </c>
    </row>
    <row r="469" spans="1:10" hidden="1" x14ac:dyDescent="0.2">
      <c r="A469" s="80" t="s">
        <v>247</v>
      </c>
      <c r="B469" s="127" t="s">
        <v>17</v>
      </c>
      <c r="C469" t="s">
        <v>247</v>
      </c>
      <c r="D469">
        <v>6.2760133047454397E-2</v>
      </c>
      <c r="E469">
        <v>7.0036234266864505E-2</v>
      </c>
      <c r="F469">
        <v>0.89610947396621199</v>
      </c>
      <c r="G469">
        <v>-7.6108781975972706E-2</v>
      </c>
      <c r="H469">
        <v>0.201629048070882</v>
      </c>
      <c r="I469">
        <v>0.37224414577235798</v>
      </c>
    </row>
    <row r="470" spans="1:10" hidden="1" x14ac:dyDescent="0.2">
      <c r="A470" s="80" t="s">
        <v>247</v>
      </c>
      <c r="B470" s="53" t="s">
        <v>26</v>
      </c>
      <c r="C470" t="s">
        <v>247</v>
      </c>
      <c r="D470">
        <v>4.97859975978917E-2</v>
      </c>
      <c r="E470">
        <v>7.1884675649237395E-2</v>
      </c>
      <c r="F470">
        <v>0.69258151543763502</v>
      </c>
      <c r="G470">
        <v>-9.2748035231219203E-2</v>
      </c>
      <c r="H470">
        <v>0.19232003042700299</v>
      </c>
      <c r="I470">
        <v>0.49010113493278901</v>
      </c>
    </row>
    <row r="471" spans="1:10" hidden="1" x14ac:dyDescent="0.2">
      <c r="A471" s="80" t="s">
        <v>247</v>
      </c>
      <c r="B471" s="5" t="s">
        <v>9</v>
      </c>
      <c r="C471" s="11" t="s">
        <v>247</v>
      </c>
      <c r="D471" s="11">
        <v>0.121497651324114</v>
      </c>
      <c r="E471" s="11">
        <v>5.2514101673780698E-2</v>
      </c>
      <c r="F471" s="11">
        <v>2.31361953173761</v>
      </c>
      <c r="G471" s="11">
        <v>1.7371888435715299E-2</v>
      </c>
      <c r="H471" s="11">
        <v>0.225623414212512</v>
      </c>
      <c r="I471" s="11">
        <v>2.2636826028643E-2</v>
      </c>
      <c r="J471" s="11" t="s">
        <v>61</v>
      </c>
    </row>
    <row r="472" spans="1:10" hidden="1" x14ac:dyDescent="0.2">
      <c r="A472" s="83" t="s">
        <v>262</v>
      </c>
      <c r="B472" s="15" t="s">
        <v>18</v>
      </c>
      <c r="C472" s="11" t="s">
        <v>262</v>
      </c>
      <c r="D472" s="11">
        <v>0.114233113253391</v>
      </c>
      <c r="E472" s="11">
        <v>4.5896418062569798E-2</v>
      </c>
      <c r="F472" s="11">
        <v>2.48893308182915</v>
      </c>
      <c r="G472" s="11">
        <v>2.32289945064444E-2</v>
      </c>
      <c r="H472" s="11">
        <v>0.205237232000337</v>
      </c>
      <c r="I472" s="11">
        <v>1.438332398049E-2</v>
      </c>
      <c r="J472" s="11" t="s">
        <v>61</v>
      </c>
    </row>
    <row r="473" spans="1:10" hidden="1" x14ac:dyDescent="0.2">
      <c r="A473" s="83" t="s">
        <v>262</v>
      </c>
      <c r="B473" s="12" t="s">
        <v>25</v>
      </c>
      <c r="C473" s="11" t="s">
        <v>262</v>
      </c>
      <c r="D473" s="11">
        <v>0.114356196838753</v>
      </c>
      <c r="E473" s="11">
        <v>4.8090714088036501E-2</v>
      </c>
      <c r="F473" s="11">
        <v>2.3779267787417102</v>
      </c>
      <c r="G473" s="11">
        <v>1.9001194417283599E-2</v>
      </c>
      <c r="H473" s="11">
        <v>0.209711199260223</v>
      </c>
      <c r="I473" s="11">
        <v>1.9218921846554601E-2</v>
      </c>
      <c r="J473" s="11" t="s">
        <v>61</v>
      </c>
    </row>
    <row r="474" spans="1:10" hidden="1" x14ac:dyDescent="0.2">
      <c r="A474" s="83" t="s">
        <v>262</v>
      </c>
      <c r="B474" s="34" t="s">
        <v>14</v>
      </c>
      <c r="C474" s="20" t="s">
        <v>262</v>
      </c>
      <c r="D474" s="20">
        <v>9.1337463538254005E-2</v>
      </c>
      <c r="E474" s="20">
        <v>4.6078961128203998E-2</v>
      </c>
      <c r="F474" s="20">
        <v>1.98219450486587</v>
      </c>
      <c r="G474" s="114">
        <v>-2.8604387357231098E-5</v>
      </c>
      <c r="H474" s="20">
        <v>0.182703531463865</v>
      </c>
      <c r="I474" s="20">
        <v>5.00704664483883E-2</v>
      </c>
      <c r="J474" s="20" t="s">
        <v>200</v>
      </c>
    </row>
    <row r="475" spans="1:10" hidden="1" x14ac:dyDescent="0.2">
      <c r="A475" s="83" t="s">
        <v>262</v>
      </c>
      <c r="B475" s="3" t="s">
        <v>7</v>
      </c>
      <c r="C475" s="11" t="s">
        <v>262</v>
      </c>
      <c r="D475" s="11">
        <v>0.12334069233690199</v>
      </c>
      <c r="E475" s="11">
        <v>4.0635025721160602E-2</v>
      </c>
      <c r="F475" s="11">
        <v>3.0353295007925301</v>
      </c>
      <c r="G475" s="11">
        <v>4.27689426859299E-2</v>
      </c>
      <c r="H475" s="11">
        <v>0.203912441987874</v>
      </c>
      <c r="I475" s="11">
        <v>3.0296090279921801E-3</v>
      </c>
      <c r="J475" s="11" t="s">
        <v>61</v>
      </c>
    </row>
    <row r="476" spans="1:10" hidden="1" x14ac:dyDescent="0.2">
      <c r="A476" s="83" t="s">
        <v>262</v>
      </c>
      <c r="B476" s="9" t="s">
        <v>21</v>
      </c>
      <c r="C476" t="s">
        <v>262</v>
      </c>
      <c r="D476">
        <v>4.9783843957580301E-2</v>
      </c>
      <c r="E476">
        <v>5.3105932139003401E-2</v>
      </c>
      <c r="F476">
        <v>0.93744412257509002</v>
      </c>
      <c r="G476">
        <v>-5.5515409416758997E-2</v>
      </c>
      <c r="H476">
        <v>0.15508309733191999</v>
      </c>
      <c r="I476">
        <v>0.35068143492405102</v>
      </c>
    </row>
    <row r="477" spans="1:10" hidden="1" x14ac:dyDescent="0.2">
      <c r="A477" s="83" t="s">
        <v>262</v>
      </c>
      <c r="B477" s="13" t="s">
        <v>11</v>
      </c>
      <c r="C477" s="11" t="s">
        <v>262</v>
      </c>
      <c r="D477" s="11">
        <v>0.15136128795015499</v>
      </c>
      <c r="E477" s="11">
        <v>4.6349840667132998E-2</v>
      </c>
      <c r="F477" s="11">
        <v>3.26562693143164</v>
      </c>
      <c r="G477" s="11">
        <v>5.9458115937396902E-2</v>
      </c>
      <c r="H477" s="11">
        <v>0.24326445996291299</v>
      </c>
      <c r="I477" s="11">
        <v>1.4754832656443399E-3</v>
      </c>
      <c r="J477" s="11" t="s">
        <v>61</v>
      </c>
    </row>
    <row r="478" spans="1:10" hidden="1" x14ac:dyDescent="0.2">
      <c r="A478" s="83" t="s">
        <v>262</v>
      </c>
      <c r="B478" s="14" t="s">
        <v>13</v>
      </c>
      <c r="C478" s="11" t="s">
        <v>262</v>
      </c>
      <c r="D478" s="11">
        <v>0.11272626575321</v>
      </c>
      <c r="E478" s="11">
        <v>4.63980069700239E-2</v>
      </c>
      <c r="F478" s="11">
        <v>2.42954973962649</v>
      </c>
      <c r="G478" s="11">
        <v>2.07275888593971E-2</v>
      </c>
      <c r="H478" s="11">
        <v>0.20472494264702201</v>
      </c>
      <c r="I478" s="11">
        <v>1.6814737403730899E-2</v>
      </c>
      <c r="J478" s="11" t="s">
        <v>61</v>
      </c>
    </row>
    <row r="479" spans="1:10" hidden="1" x14ac:dyDescent="0.2">
      <c r="A479" s="83" t="s">
        <v>262</v>
      </c>
      <c r="B479" s="127" t="s">
        <v>17</v>
      </c>
      <c r="C479" t="s">
        <v>262</v>
      </c>
      <c r="D479">
        <v>7.3599483298909293E-2</v>
      </c>
      <c r="E479">
        <v>5.3690710177365E-2</v>
      </c>
      <c r="F479">
        <v>1.37080480134788</v>
      </c>
      <c r="G479">
        <v>-3.2859276901673298E-2</v>
      </c>
      <c r="H479">
        <v>0.18005824349949201</v>
      </c>
      <c r="I479">
        <v>0.17335893813952499</v>
      </c>
    </row>
    <row r="480" spans="1:10" hidden="1" x14ac:dyDescent="0.2">
      <c r="A480" s="83" t="s">
        <v>262</v>
      </c>
      <c r="B480" s="53" t="s">
        <v>26</v>
      </c>
      <c r="C480" t="s">
        <v>262</v>
      </c>
      <c r="D480">
        <v>6.5983933786090895E-2</v>
      </c>
      <c r="E480">
        <v>5.5138915875616999E-2</v>
      </c>
      <c r="F480">
        <v>1.19668536709967</v>
      </c>
      <c r="G480">
        <v>-4.3346350792582901E-2</v>
      </c>
      <c r="H480">
        <v>0.17531421836476499</v>
      </c>
      <c r="I480">
        <v>0.234124232431973</v>
      </c>
    </row>
    <row r="481" spans="1:10" hidden="1" x14ac:dyDescent="0.2">
      <c r="A481" s="83" t="s">
        <v>262</v>
      </c>
      <c r="B481" s="5" t="s">
        <v>9</v>
      </c>
      <c r="C481" s="11" t="s">
        <v>262</v>
      </c>
      <c r="D481" s="11">
        <v>8.8065903766249495E-2</v>
      </c>
      <c r="E481" s="11">
        <v>4.0580675712000497E-2</v>
      </c>
      <c r="F481" s="11">
        <v>2.1701438485462798</v>
      </c>
      <c r="G481" s="11">
        <v>7.60192014357118E-3</v>
      </c>
      <c r="H481" s="11">
        <v>0.16852988738892799</v>
      </c>
      <c r="I481" s="11">
        <v>3.2250008520392101E-2</v>
      </c>
      <c r="J481" s="11" t="s">
        <v>61</v>
      </c>
    </row>
    <row r="482" spans="1:10" hidden="1" x14ac:dyDescent="0.2">
      <c r="A482" s="113" t="s">
        <v>263</v>
      </c>
      <c r="B482" s="15" t="s">
        <v>18</v>
      </c>
      <c r="C482" s="11" t="s">
        <v>274</v>
      </c>
      <c r="D482" s="11">
        <v>-0.41051195673585</v>
      </c>
      <c r="E482" s="11">
        <v>0.192687762630849</v>
      </c>
      <c r="F482" s="11">
        <v>-2.13045162355384</v>
      </c>
      <c r="G482" s="11">
        <v>-0.79257619555369196</v>
      </c>
      <c r="H482" s="11">
        <v>-2.8447717918007199E-2</v>
      </c>
      <c r="I482" s="11">
        <v>3.5469514838424303E-2</v>
      </c>
      <c r="J482" s="11" t="s">
        <v>61</v>
      </c>
    </row>
    <row r="483" spans="1:10" hidden="1" x14ac:dyDescent="0.2">
      <c r="A483" s="113" t="s">
        <v>263</v>
      </c>
      <c r="B483" s="12" t="s">
        <v>25</v>
      </c>
      <c r="C483" s="11" t="s">
        <v>274</v>
      </c>
      <c r="D483" s="11">
        <v>-0.46159325320650002</v>
      </c>
      <c r="E483" s="11">
        <v>0.200723453359611</v>
      </c>
      <c r="F483" s="11">
        <v>-2.2996478263031901</v>
      </c>
      <c r="G483" s="11">
        <v>-0.85959078233682396</v>
      </c>
      <c r="H483" s="11">
        <v>-6.3595724076175406E-2</v>
      </c>
      <c r="I483" s="11">
        <v>2.34466871743652E-2</v>
      </c>
      <c r="J483" s="11" t="s">
        <v>61</v>
      </c>
    </row>
    <row r="484" spans="1:10" hidden="1" x14ac:dyDescent="0.2">
      <c r="A484" s="113" t="s">
        <v>263</v>
      </c>
      <c r="B484" s="34" t="s">
        <v>14</v>
      </c>
      <c r="C484" s="20" t="s">
        <v>274</v>
      </c>
      <c r="D484" s="20">
        <v>-0.33468338341020298</v>
      </c>
      <c r="E484" s="20">
        <v>0.19282099807106601</v>
      </c>
      <c r="F484" s="20">
        <v>-1.73572062564915</v>
      </c>
      <c r="G484" s="20">
        <v>-0.71701180349391702</v>
      </c>
      <c r="H484" s="20">
        <v>4.76450366735112E-2</v>
      </c>
      <c r="I484" s="20">
        <v>8.5546832345276394E-2</v>
      </c>
      <c r="J484" s="20" t="s">
        <v>200</v>
      </c>
    </row>
    <row r="485" spans="1:10" hidden="1" x14ac:dyDescent="0.2">
      <c r="A485" s="113" t="s">
        <v>263</v>
      </c>
      <c r="B485" s="3" t="s">
        <v>7</v>
      </c>
      <c r="C485" s="20" t="s">
        <v>274</v>
      </c>
      <c r="D485" s="20">
        <v>-0.30851301306533901</v>
      </c>
      <c r="E485" s="20">
        <v>0.174010701052628</v>
      </c>
      <c r="F485" s="20">
        <v>-1.7729542562559599</v>
      </c>
      <c r="G485" s="20">
        <v>-0.65354408891627302</v>
      </c>
      <c r="H485" s="20">
        <v>3.6518062785594801E-2</v>
      </c>
      <c r="I485" s="20">
        <v>7.9136029901013497E-2</v>
      </c>
      <c r="J485" s="20" t="s">
        <v>200</v>
      </c>
    </row>
    <row r="486" spans="1:10" hidden="1" x14ac:dyDescent="0.2">
      <c r="A486" s="113" t="s">
        <v>263</v>
      </c>
      <c r="B486" s="9" t="s">
        <v>21</v>
      </c>
      <c r="C486" t="s">
        <v>274</v>
      </c>
      <c r="D486">
        <v>-9.8529224816911704E-2</v>
      </c>
      <c r="E486">
        <v>0.22200517008052301</v>
      </c>
      <c r="F486">
        <v>-0.44381500116044398</v>
      </c>
      <c r="G486">
        <v>-0.53872446691403897</v>
      </c>
      <c r="H486">
        <v>0.34166601728021601</v>
      </c>
      <c r="I486">
        <v>0.65808959158680302</v>
      </c>
    </row>
    <row r="487" spans="1:10" hidden="1" x14ac:dyDescent="0.2">
      <c r="A487" s="113" t="s">
        <v>263</v>
      </c>
      <c r="B487" s="13" t="s">
        <v>11</v>
      </c>
      <c r="C487" s="20" t="s">
        <v>274</v>
      </c>
      <c r="D487" s="20">
        <v>-0.36484050217575198</v>
      </c>
      <c r="E487" s="20">
        <v>0.19955638720192301</v>
      </c>
      <c r="F487" s="20">
        <v>-1.82825770345594</v>
      </c>
      <c r="G487" s="20">
        <v>-0.76052395470308298</v>
      </c>
      <c r="H487" s="20">
        <v>3.0842950351579902E-2</v>
      </c>
      <c r="I487" s="20">
        <v>7.0349939163853903E-2</v>
      </c>
      <c r="J487" s="20" t="s">
        <v>200</v>
      </c>
    </row>
    <row r="488" spans="1:10" hidden="1" x14ac:dyDescent="0.2">
      <c r="A488" s="113" t="s">
        <v>263</v>
      </c>
      <c r="B488" s="14" t="s">
        <v>13</v>
      </c>
      <c r="C488" s="11" t="s">
        <v>274</v>
      </c>
      <c r="D488" s="11">
        <v>-0.42342406876939298</v>
      </c>
      <c r="E488" s="11">
        <v>0.19435350979545199</v>
      </c>
      <c r="F488" s="11">
        <v>-2.1786283623847398</v>
      </c>
      <c r="G488" s="11">
        <v>-0.80879117650749</v>
      </c>
      <c r="H488" s="11">
        <v>-3.80569610312953E-2</v>
      </c>
      <c r="I488" s="11">
        <v>3.15957425321087E-2</v>
      </c>
      <c r="J488" s="11" t="s">
        <v>61</v>
      </c>
    </row>
    <row r="489" spans="1:10" hidden="1" x14ac:dyDescent="0.2">
      <c r="A489" s="113" t="s">
        <v>263</v>
      </c>
      <c r="B489" s="127" t="s">
        <v>17</v>
      </c>
      <c r="C489" t="s">
        <v>274</v>
      </c>
      <c r="D489">
        <v>-0.22611597192767299</v>
      </c>
      <c r="E489">
        <v>0.224637748067263</v>
      </c>
      <c r="F489">
        <v>-1.0065804784508801</v>
      </c>
      <c r="G489">
        <v>-0.67153112986636698</v>
      </c>
      <c r="H489">
        <v>0.21929918601102</v>
      </c>
      <c r="I489">
        <v>0.31645046149995898</v>
      </c>
    </row>
    <row r="490" spans="1:10" hidden="1" x14ac:dyDescent="0.2">
      <c r="A490" s="113" t="s">
        <v>263</v>
      </c>
      <c r="B490" s="53" t="s">
        <v>26</v>
      </c>
      <c r="C490" t="s">
        <v>274</v>
      </c>
      <c r="D490">
        <v>-0.202584022295248</v>
      </c>
      <c r="E490">
        <v>0.230475624765378</v>
      </c>
      <c r="F490">
        <v>-0.878982419513895</v>
      </c>
      <c r="G490">
        <v>-0.65957461131749595</v>
      </c>
      <c r="H490">
        <v>0.25440656672699902</v>
      </c>
      <c r="I490">
        <v>0.381417919663119</v>
      </c>
    </row>
    <row r="491" spans="1:10" hidden="1" x14ac:dyDescent="0.2">
      <c r="A491" s="113" t="s">
        <v>263</v>
      </c>
      <c r="B491" s="5" t="s">
        <v>9</v>
      </c>
      <c r="C491" s="20" t="s">
        <v>274</v>
      </c>
      <c r="D491" s="20">
        <v>-0.31154289239063598</v>
      </c>
      <c r="E491" s="20">
        <v>0.170152884826614</v>
      </c>
      <c r="F491" s="20">
        <v>-1.83095862704943</v>
      </c>
      <c r="G491" s="20">
        <v>-0.648924631305135</v>
      </c>
      <c r="H491" s="20">
        <v>2.5838846523862698E-2</v>
      </c>
      <c r="I491" s="20">
        <v>6.9942505153374704E-2</v>
      </c>
      <c r="J491" s="20" t="s">
        <v>200</v>
      </c>
    </row>
    <row r="492" spans="1:10" x14ac:dyDescent="0.2">
      <c r="A492" s="196" t="s">
        <v>280</v>
      </c>
      <c r="B492" s="15" t="s">
        <v>18</v>
      </c>
      <c r="C492" s="20" t="s">
        <v>286</v>
      </c>
      <c r="D492" s="20">
        <v>-0.41510560222113702</v>
      </c>
      <c r="E492" s="20">
        <v>0.21309923603307299</v>
      </c>
      <c r="F492" s="20">
        <v>-1.9479450510874301</v>
      </c>
      <c r="G492" s="20">
        <v>-0.83764202226157103</v>
      </c>
      <c r="H492" s="20">
        <v>7.4308178192964997E-3</v>
      </c>
      <c r="I492" s="20">
        <v>5.4091267282123497E-2</v>
      </c>
      <c r="J492" s="20" t="s">
        <v>200</v>
      </c>
    </row>
    <row r="493" spans="1:10" x14ac:dyDescent="0.2">
      <c r="A493" s="196" t="s">
        <v>280</v>
      </c>
      <c r="B493" s="12" t="s">
        <v>25</v>
      </c>
      <c r="C493" s="11" t="s">
        <v>286</v>
      </c>
      <c r="D493" s="11">
        <v>-0.46750668099830101</v>
      </c>
      <c r="E493" s="11">
        <v>0.22209568209328001</v>
      </c>
      <c r="F493" s="11">
        <v>-2.1049787037370198</v>
      </c>
      <c r="G493" s="11">
        <v>-0.90788139169678705</v>
      </c>
      <c r="H493" s="11">
        <v>-2.7131970299816E-2</v>
      </c>
      <c r="I493" s="11">
        <v>3.76791518091125E-2</v>
      </c>
      <c r="J493" s="11" t="s">
        <v>61</v>
      </c>
    </row>
    <row r="494" spans="1:10" x14ac:dyDescent="0.2">
      <c r="A494" s="196" t="s">
        <v>280</v>
      </c>
      <c r="B494" s="34" t="s">
        <v>14</v>
      </c>
      <c r="C494" s="20" t="s">
        <v>286</v>
      </c>
      <c r="D494" s="20">
        <v>-0.35376288218802998</v>
      </c>
      <c r="E494" s="20">
        <v>0.21276541128234999</v>
      </c>
      <c r="F494" s="20">
        <v>-1.66268981436353</v>
      </c>
      <c r="G494" s="20">
        <v>-0.77563738941395899</v>
      </c>
      <c r="H494" s="20">
        <v>6.8111625037898499E-2</v>
      </c>
      <c r="I494" s="20">
        <v>9.9356948725339497E-2</v>
      </c>
      <c r="J494" s="20" t="s">
        <v>200</v>
      </c>
    </row>
    <row r="495" spans="1:10" x14ac:dyDescent="0.2">
      <c r="A495" s="196" t="s">
        <v>280</v>
      </c>
      <c r="B495" s="3" t="s">
        <v>7</v>
      </c>
      <c r="C495" s="11" t="s">
        <v>286</v>
      </c>
      <c r="D495" s="11">
        <v>-0.392046814618845</v>
      </c>
      <c r="E495" s="11">
        <v>0.190840960966949</v>
      </c>
      <c r="F495" s="11">
        <v>-2.0543116772857899</v>
      </c>
      <c r="G495" s="11">
        <v>-0.77044918688983599</v>
      </c>
      <c r="H495" s="11">
        <v>-1.36444423478537E-2</v>
      </c>
      <c r="I495" s="11">
        <v>4.2429165872396597E-2</v>
      </c>
      <c r="J495" s="11" t="s">
        <v>61</v>
      </c>
    </row>
    <row r="496" spans="1:10" x14ac:dyDescent="0.2">
      <c r="A496" s="196" t="s">
        <v>280</v>
      </c>
      <c r="B496" s="9" t="s">
        <v>21</v>
      </c>
      <c r="C496" s="20" t="s">
        <v>286</v>
      </c>
      <c r="D496" s="20">
        <v>-0.45010165126273299</v>
      </c>
      <c r="E496" s="20">
        <v>0.24094485691265399</v>
      </c>
      <c r="F496" s="20">
        <v>-1.8680691384332</v>
      </c>
      <c r="G496" s="20">
        <v>-0.92785079369150603</v>
      </c>
      <c r="H496" s="20">
        <v>2.7647491166040299E-2</v>
      </c>
      <c r="I496" s="20">
        <v>6.4540597243478395E-2</v>
      </c>
      <c r="J496" s="20" t="s">
        <v>200</v>
      </c>
    </row>
    <row r="497" spans="1:10" x14ac:dyDescent="0.2">
      <c r="A497" s="196" t="s">
        <v>280</v>
      </c>
      <c r="B497" s="13" t="s">
        <v>11</v>
      </c>
      <c r="C497" s="10" t="s">
        <v>286</v>
      </c>
      <c r="D497" s="10">
        <v>-0.75178985562266398</v>
      </c>
      <c r="E497" s="10">
        <v>0.211027815936084</v>
      </c>
      <c r="F497" s="10">
        <v>-3.56251545459943</v>
      </c>
      <c r="G497" s="10">
        <v>-1.1702190322563399</v>
      </c>
      <c r="H497" s="10">
        <v>-0.33336067898898702</v>
      </c>
      <c r="I497" s="10">
        <v>5.5391073951647498E-4</v>
      </c>
      <c r="J497" s="10" t="s">
        <v>242</v>
      </c>
    </row>
    <row r="498" spans="1:10" x14ac:dyDescent="0.2">
      <c r="A498" s="196" t="s">
        <v>280</v>
      </c>
      <c r="B498" s="14" t="s">
        <v>13</v>
      </c>
      <c r="C498" s="11" t="s">
        <v>286</v>
      </c>
      <c r="D498" s="11">
        <v>-0.59012364409507601</v>
      </c>
      <c r="E498" s="11">
        <v>0.211290047558712</v>
      </c>
      <c r="F498" s="11">
        <v>-2.7929552334030099</v>
      </c>
      <c r="G498" s="11">
        <v>-1.0090727775953701</v>
      </c>
      <c r="H498" s="11">
        <v>-0.17117451059477901</v>
      </c>
      <c r="I498" s="11">
        <v>6.20802820640441E-3</v>
      </c>
      <c r="J498" s="11" t="s">
        <v>61</v>
      </c>
    </row>
    <row r="499" spans="1:10" x14ac:dyDescent="0.2">
      <c r="A499" s="196" t="s">
        <v>280</v>
      </c>
      <c r="B499" s="127" t="s">
        <v>17</v>
      </c>
      <c r="C499" s="11" t="s">
        <v>286</v>
      </c>
      <c r="D499" s="11">
        <v>-0.530296838780559</v>
      </c>
      <c r="E499" s="11">
        <v>0.243337602897153</v>
      </c>
      <c r="F499" s="11">
        <v>-2.1792638394843098</v>
      </c>
      <c r="G499" s="11">
        <v>-1.01279035449371</v>
      </c>
      <c r="H499" s="11">
        <v>-4.78033230674096E-2</v>
      </c>
      <c r="I499" s="11">
        <v>3.15472070983467E-2</v>
      </c>
      <c r="J499" s="11" t="s">
        <v>61</v>
      </c>
    </row>
    <row r="500" spans="1:10" x14ac:dyDescent="0.2">
      <c r="A500" s="196" t="s">
        <v>280</v>
      </c>
      <c r="B500" s="53" t="s">
        <v>26</v>
      </c>
      <c r="C500" t="s">
        <v>286</v>
      </c>
      <c r="D500">
        <v>-0.36130536612436298</v>
      </c>
      <c r="E500">
        <v>0.25250540326832399</v>
      </c>
      <c r="F500">
        <v>-1.43088172153062</v>
      </c>
      <c r="G500">
        <v>-0.86197693644057405</v>
      </c>
      <c r="H500">
        <v>0.139366204191848</v>
      </c>
      <c r="I500">
        <v>0.15543357757967999</v>
      </c>
    </row>
    <row r="501" spans="1:10" x14ac:dyDescent="0.2">
      <c r="A501" s="196" t="s">
        <v>280</v>
      </c>
      <c r="B501" s="5" t="s">
        <v>9</v>
      </c>
      <c r="C501" s="11" t="s">
        <v>286</v>
      </c>
      <c r="D501" s="11">
        <v>-0.41120753084719802</v>
      </c>
      <c r="E501" s="11">
        <v>0.18623252097476101</v>
      </c>
      <c r="F501" s="11">
        <v>-2.2080328864953001</v>
      </c>
      <c r="G501" s="11">
        <v>-0.78047221791331001</v>
      </c>
      <c r="H501" s="11">
        <v>-4.1942843781085697E-2</v>
      </c>
      <c r="I501" s="11">
        <v>2.94168160333293E-2</v>
      </c>
      <c r="J501" s="11" t="s">
        <v>61</v>
      </c>
    </row>
    <row r="502" spans="1:10" hidden="1" x14ac:dyDescent="0.2">
      <c r="A502" s="80" t="s">
        <v>260</v>
      </c>
      <c r="B502" s="15" t="s">
        <v>18</v>
      </c>
      <c r="C502" s="11" t="s">
        <v>260</v>
      </c>
      <c r="D502" s="11">
        <v>0.13906188174710199</v>
      </c>
      <c r="E502" s="11">
        <v>5.9777758900232E-2</v>
      </c>
      <c r="F502" s="11">
        <v>2.32631474156122</v>
      </c>
      <c r="G502" s="11">
        <v>2.0533628366484199E-2</v>
      </c>
      <c r="H502" s="11">
        <v>0.25759013512772</v>
      </c>
      <c r="I502" s="11">
        <v>2.1922442557453601E-2</v>
      </c>
      <c r="J502" s="11" t="s">
        <v>61</v>
      </c>
    </row>
    <row r="503" spans="1:10" hidden="1" x14ac:dyDescent="0.2">
      <c r="A503" s="80" t="s">
        <v>260</v>
      </c>
      <c r="B503" s="12" t="s">
        <v>25</v>
      </c>
      <c r="C503" s="11" t="s">
        <v>260</v>
      </c>
      <c r="D503" s="11">
        <v>0.13222979585577299</v>
      </c>
      <c r="E503" s="11">
        <v>6.2760442330165395E-2</v>
      </c>
      <c r="F503" s="11">
        <v>2.1068971305228898</v>
      </c>
      <c r="G503" s="11">
        <v>7.7874322133873897E-3</v>
      </c>
      <c r="H503" s="11">
        <v>0.25667215949815803</v>
      </c>
      <c r="I503" s="11">
        <v>3.7508697155463101E-2</v>
      </c>
      <c r="J503" s="11" t="s">
        <v>61</v>
      </c>
    </row>
    <row r="504" spans="1:10" hidden="1" x14ac:dyDescent="0.2">
      <c r="A504" s="80" t="s">
        <v>260</v>
      </c>
      <c r="B504" s="34" t="s">
        <v>14</v>
      </c>
      <c r="C504" s="20" t="s">
        <v>260</v>
      </c>
      <c r="D504" s="20">
        <v>0.115563434691004</v>
      </c>
      <c r="E504" s="20">
        <v>5.9859332362414697E-2</v>
      </c>
      <c r="F504" s="20">
        <v>1.9305834216681901</v>
      </c>
      <c r="G504" s="20">
        <v>-3.1265637963659599E-3</v>
      </c>
      <c r="H504" s="20">
        <v>0.23425343317837399</v>
      </c>
      <c r="I504" s="20">
        <v>5.6231783562488702E-2</v>
      </c>
      <c r="J504" s="20" t="s">
        <v>200</v>
      </c>
    </row>
    <row r="505" spans="1:10" hidden="1" x14ac:dyDescent="0.2">
      <c r="A505" s="80" t="s">
        <v>260</v>
      </c>
      <c r="B505" s="3" t="s">
        <v>7</v>
      </c>
      <c r="C505" s="11" t="s">
        <v>260</v>
      </c>
      <c r="D505" s="11">
        <v>0.150516814219816</v>
      </c>
      <c r="E505" s="11">
        <v>5.3005851403429997E-2</v>
      </c>
      <c r="F505" s="11">
        <v>2.83962638528764</v>
      </c>
      <c r="G505" s="11">
        <v>4.5416002456583997E-2</v>
      </c>
      <c r="H505" s="11">
        <v>0.25561762598304699</v>
      </c>
      <c r="I505" s="11">
        <v>5.42454064634119E-3</v>
      </c>
      <c r="J505" s="11" t="s">
        <v>61</v>
      </c>
    </row>
    <row r="506" spans="1:10" hidden="1" x14ac:dyDescent="0.2">
      <c r="A506" s="80" t="s">
        <v>260</v>
      </c>
      <c r="B506" s="9" t="s">
        <v>21</v>
      </c>
      <c r="C506" t="s">
        <v>260</v>
      </c>
      <c r="D506">
        <v>3.4835427308995998E-2</v>
      </c>
      <c r="E506">
        <v>6.9128098293946297E-2</v>
      </c>
      <c r="F506">
        <v>0.50392572873723396</v>
      </c>
      <c r="G506">
        <v>-0.102232821836646</v>
      </c>
      <c r="H506">
        <v>0.171903676454638</v>
      </c>
      <c r="I506">
        <v>0.61536927889070503</v>
      </c>
    </row>
    <row r="507" spans="1:10" hidden="1" x14ac:dyDescent="0.2">
      <c r="A507" s="80" t="s">
        <v>260</v>
      </c>
      <c r="B507" s="13" t="s">
        <v>11</v>
      </c>
      <c r="C507" s="11" t="s">
        <v>260</v>
      </c>
      <c r="D507" s="11">
        <v>0.168369433673277</v>
      </c>
      <c r="E507" s="11">
        <v>6.0960779253745899E-2</v>
      </c>
      <c r="F507" s="11">
        <v>2.7619304696294602</v>
      </c>
      <c r="G507" s="11">
        <v>4.7495469466500899E-2</v>
      </c>
      <c r="H507" s="11">
        <v>0.28924339788005199</v>
      </c>
      <c r="I507" s="11">
        <v>6.7846443596885301E-3</v>
      </c>
      <c r="J507" s="11" t="s">
        <v>61</v>
      </c>
    </row>
    <row r="508" spans="1:10" hidden="1" x14ac:dyDescent="0.2">
      <c r="A508" s="80" t="s">
        <v>260</v>
      </c>
      <c r="B508" s="14" t="s">
        <v>13</v>
      </c>
      <c r="C508" s="20" t="s">
        <v>260</v>
      </c>
      <c r="D508" s="20">
        <v>0.105293258349637</v>
      </c>
      <c r="E508" s="20">
        <v>6.1028344980461599E-2</v>
      </c>
      <c r="F508" s="20">
        <v>1.7253172830321299</v>
      </c>
      <c r="G508" s="20">
        <v>-1.57146762120552E-2</v>
      </c>
      <c r="H508" s="20">
        <v>0.22630119291133</v>
      </c>
      <c r="I508" s="20">
        <v>8.74122971873664E-2</v>
      </c>
      <c r="J508" s="20" t="s">
        <v>200</v>
      </c>
    </row>
    <row r="509" spans="1:10" hidden="1" x14ac:dyDescent="0.2">
      <c r="A509" s="80" t="s">
        <v>260</v>
      </c>
      <c r="B509" s="127" t="s">
        <v>17</v>
      </c>
      <c r="C509" t="s">
        <v>260</v>
      </c>
      <c r="D509">
        <v>6.2760133047454397E-2</v>
      </c>
      <c r="E509">
        <v>7.0036234266864505E-2</v>
      </c>
      <c r="F509">
        <v>0.89610947396621199</v>
      </c>
      <c r="G509">
        <v>-7.6108781975972706E-2</v>
      </c>
      <c r="H509">
        <v>0.201629048070882</v>
      </c>
      <c r="I509">
        <v>0.37224414577235798</v>
      </c>
    </row>
    <row r="510" spans="1:10" hidden="1" x14ac:dyDescent="0.2">
      <c r="A510" s="80" t="s">
        <v>260</v>
      </c>
      <c r="B510" s="53" t="s">
        <v>26</v>
      </c>
      <c r="C510" t="s">
        <v>260</v>
      </c>
      <c r="D510">
        <v>4.97859975978917E-2</v>
      </c>
      <c r="E510">
        <v>7.1884675649237395E-2</v>
      </c>
      <c r="F510">
        <v>0.69258151543763502</v>
      </c>
      <c r="G510">
        <v>-9.2748035231219203E-2</v>
      </c>
      <c r="H510">
        <v>0.19232003042700299</v>
      </c>
      <c r="I510">
        <v>0.49010113493278901</v>
      </c>
    </row>
    <row r="511" spans="1:10" hidden="1" x14ac:dyDescent="0.2">
      <c r="A511" s="80" t="s">
        <v>260</v>
      </c>
      <c r="B511" s="5" t="s">
        <v>9</v>
      </c>
      <c r="C511" s="11" t="s">
        <v>260</v>
      </c>
      <c r="D511" s="11">
        <v>0.121497651324114</v>
      </c>
      <c r="E511" s="11">
        <v>5.2514101673780698E-2</v>
      </c>
      <c r="F511" s="11">
        <v>2.31361953173761</v>
      </c>
      <c r="G511" s="11">
        <v>1.7371888435715299E-2</v>
      </c>
      <c r="H511" s="11">
        <v>0.225623414212512</v>
      </c>
      <c r="I511" s="11">
        <v>2.2636826028643E-2</v>
      </c>
      <c r="J511" s="11" t="s">
        <v>61</v>
      </c>
    </row>
    <row r="512" spans="1:10" hidden="1" x14ac:dyDescent="0.2">
      <c r="A512" s="188" t="s">
        <v>261</v>
      </c>
      <c r="B512" s="15" t="s">
        <v>18</v>
      </c>
      <c r="C512" t="s">
        <v>273</v>
      </c>
      <c r="D512">
        <v>-0.28960488199432599</v>
      </c>
      <c r="E512">
        <v>0.19624382254540201</v>
      </c>
      <c r="F512">
        <v>-1.47574011878679</v>
      </c>
      <c r="G512">
        <v>-0.67872013072527504</v>
      </c>
      <c r="H512">
        <v>9.95103667366221E-2</v>
      </c>
      <c r="I512">
        <v>0.14300623333514201</v>
      </c>
    </row>
    <row r="513" spans="1:10" hidden="1" x14ac:dyDescent="0.2">
      <c r="A513" s="188" t="s">
        <v>261</v>
      </c>
      <c r="B513" s="12" t="s">
        <v>25</v>
      </c>
      <c r="C513" t="s">
        <v>273</v>
      </c>
      <c r="D513">
        <v>-0.22667899045000001</v>
      </c>
      <c r="E513">
        <v>0.20605835683969501</v>
      </c>
      <c r="F513">
        <v>-1.10007181424992</v>
      </c>
      <c r="G513">
        <v>-0.63525464768485795</v>
      </c>
      <c r="H513">
        <v>0.181896666784858</v>
      </c>
      <c r="I513">
        <v>0.27381653794293598</v>
      </c>
    </row>
    <row r="514" spans="1:10" hidden="1" x14ac:dyDescent="0.2">
      <c r="A514" s="188" t="s">
        <v>261</v>
      </c>
      <c r="B514" s="34" t="s">
        <v>14</v>
      </c>
      <c r="C514" t="s">
        <v>273</v>
      </c>
      <c r="D514">
        <v>-3.9617738957446802E-2</v>
      </c>
      <c r="E514">
        <v>0.19698073847714601</v>
      </c>
      <c r="F514">
        <v>-0.201124938731222</v>
      </c>
      <c r="G514">
        <v>-0.43019415585336002</v>
      </c>
      <c r="H514">
        <v>0.35095867793846602</v>
      </c>
      <c r="I514">
        <v>0.84098997743579795</v>
      </c>
    </row>
    <row r="515" spans="1:10" hidden="1" x14ac:dyDescent="0.2">
      <c r="A515" s="188" t="s">
        <v>261</v>
      </c>
      <c r="B515" s="3" t="s">
        <v>7</v>
      </c>
      <c r="C515" t="s">
        <v>273</v>
      </c>
      <c r="D515">
        <v>-0.229387474141135</v>
      </c>
      <c r="E515">
        <v>0.176492347264779</v>
      </c>
      <c r="F515">
        <v>-1.2997020986808101</v>
      </c>
      <c r="G515">
        <v>-0.57933919600567796</v>
      </c>
      <c r="H515">
        <v>0.120564247723409</v>
      </c>
      <c r="I515">
        <v>0.19654926318247101</v>
      </c>
    </row>
    <row r="516" spans="1:10" hidden="1" x14ac:dyDescent="0.2">
      <c r="A516" s="188" t="s">
        <v>261</v>
      </c>
      <c r="B516" s="9" t="s">
        <v>21</v>
      </c>
      <c r="C516" t="s">
        <v>273</v>
      </c>
      <c r="D516">
        <v>-0.18562236361808501</v>
      </c>
      <c r="E516">
        <v>0.22312783742692099</v>
      </c>
      <c r="F516">
        <v>-0.83191037818793301</v>
      </c>
      <c r="G516">
        <v>-0.62804364767704202</v>
      </c>
      <c r="H516">
        <v>0.25679892044087099</v>
      </c>
      <c r="I516">
        <v>0.40734753665231699</v>
      </c>
    </row>
    <row r="517" spans="1:10" hidden="1" x14ac:dyDescent="0.2">
      <c r="A517" s="188" t="s">
        <v>261</v>
      </c>
      <c r="B517" s="13" t="s">
        <v>11</v>
      </c>
      <c r="C517" t="s">
        <v>273</v>
      </c>
      <c r="D517">
        <v>-0.31470729310319101</v>
      </c>
      <c r="E517">
        <v>0.201889062206078</v>
      </c>
      <c r="F517">
        <v>-1.5588129919686</v>
      </c>
      <c r="G517">
        <v>-0.71501600925756104</v>
      </c>
      <c r="H517">
        <v>8.5601423051178599E-2</v>
      </c>
      <c r="I517">
        <v>0.122049734051796</v>
      </c>
    </row>
    <row r="518" spans="1:10" hidden="1" x14ac:dyDescent="0.2">
      <c r="A518" s="188" t="s">
        <v>261</v>
      </c>
      <c r="B518" s="14" t="s">
        <v>13</v>
      </c>
      <c r="C518" t="s">
        <v>273</v>
      </c>
      <c r="D518">
        <v>-0.30984263059148898</v>
      </c>
      <c r="E518">
        <v>0.19787494449221599</v>
      </c>
      <c r="F518">
        <v>-1.5658507517796301</v>
      </c>
      <c r="G518">
        <v>-0.70219209283200201</v>
      </c>
      <c r="H518">
        <v>8.2506831649023796E-2</v>
      </c>
      <c r="I518">
        <v>0.120392484455807</v>
      </c>
    </row>
    <row r="519" spans="1:10" hidden="1" x14ac:dyDescent="0.2">
      <c r="A519" s="188" t="s">
        <v>261</v>
      </c>
      <c r="B519" s="127" t="s">
        <v>17</v>
      </c>
      <c r="C519" t="s">
        <v>273</v>
      </c>
      <c r="D519">
        <v>-0.26814222406844002</v>
      </c>
      <c r="E519">
        <v>0.22588294915976601</v>
      </c>
      <c r="F519">
        <v>-1.18708483781476</v>
      </c>
      <c r="G519">
        <v>-0.71602638575229405</v>
      </c>
      <c r="H519">
        <v>0.17974193761541499</v>
      </c>
      <c r="I519">
        <v>0.23787288057659101</v>
      </c>
    </row>
    <row r="520" spans="1:10" hidden="1" x14ac:dyDescent="0.2">
      <c r="A520" s="188" t="s">
        <v>261</v>
      </c>
      <c r="B520" s="53" t="s">
        <v>26</v>
      </c>
      <c r="C520" t="s">
        <v>273</v>
      </c>
      <c r="D520">
        <v>-0.336149204987234</v>
      </c>
      <c r="E520">
        <v>0.23071773645954499</v>
      </c>
      <c r="F520">
        <v>-1.4569716665288801</v>
      </c>
      <c r="G520">
        <v>-0.79361985677463998</v>
      </c>
      <c r="H520">
        <v>0.121321446800171</v>
      </c>
      <c r="I520">
        <v>0.148108304833727</v>
      </c>
    </row>
    <row r="521" spans="1:10" hidden="1" x14ac:dyDescent="0.2">
      <c r="A521" s="188" t="s">
        <v>261</v>
      </c>
      <c r="B521" s="5" t="s">
        <v>9</v>
      </c>
      <c r="C521" t="s">
        <v>273</v>
      </c>
      <c r="D521">
        <v>-0.21315669541489399</v>
      </c>
      <c r="E521">
        <v>0.17288325830787299</v>
      </c>
      <c r="F521">
        <v>-1.23295163164557</v>
      </c>
      <c r="G521">
        <v>-0.55595226057119895</v>
      </c>
      <c r="H521">
        <v>0.12963886974141101</v>
      </c>
      <c r="I521">
        <v>0.220347106548544</v>
      </c>
    </row>
    <row r="522" spans="1:10" hidden="1" x14ac:dyDescent="0.2">
      <c r="A522" s="19" t="s">
        <v>277</v>
      </c>
      <c r="B522" s="15" t="s">
        <v>18</v>
      </c>
      <c r="C522" t="s">
        <v>279</v>
      </c>
      <c r="D522">
        <v>-0.16615625001527801</v>
      </c>
      <c r="E522">
        <v>0.225962365770808</v>
      </c>
      <c r="F522">
        <v>-0.73532709506063798</v>
      </c>
      <c r="G522">
        <v>-0.61419788016849997</v>
      </c>
      <c r="H522">
        <v>0.28188538013794501</v>
      </c>
      <c r="I522">
        <v>0.46377961674516199</v>
      </c>
    </row>
    <row r="523" spans="1:10" hidden="1" x14ac:dyDescent="0.2">
      <c r="A523" s="19" t="s">
        <v>277</v>
      </c>
      <c r="B523" s="12" t="s">
        <v>25</v>
      </c>
      <c r="C523" t="s">
        <v>279</v>
      </c>
      <c r="D523">
        <v>-0.294007433906944</v>
      </c>
      <c r="E523">
        <v>0.23505233790609301</v>
      </c>
      <c r="F523">
        <v>-1.2508168883834001</v>
      </c>
      <c r="G523">
        <v>-0.76007279964838104</v>
      </c>
      <c r="H523">
        <v>0.172057931834493</v>
      </c>
      <c r="I523">
        <v>0.21378131842190201</v>
      </c>
    </row>
    <row r="524" spans="1:10" hidden="1" x14ac:dyDescent="0.2">
      <c r="A524" s="19" t="s">
        <v>277</v>
      </c>
      <c r="B524" s="34" t="s">
        <v>14</v>
      </c>
      <c r="C524" t="s">
        <v>279</v>
      </c>
      <c r="D524">
        <v>-0.24805231451250001</v>
      </c>
      <c r="E524">
        <v>0.22380999609948701</v>
      </c>
      <c r="F524">
        <v>-1.10831651327243</v>
      </c>
      <c r="G524">
        <v>-0.69182619320657301</v>
      </c>
      <c r="H524">
        <v>0.19572156418157299</v>
      </c>
      <c r="I524">
        <v>0.27025740746684301</v>
      </c>
    </row>
    <row r="525" spans="1:10" hidden="1" x14ac:dyDescent="0.2">
      <c r="A525" s="19" t="s">
        <v>277</v>
      </c>
      <c r="B525" s="3" t="s">
        <v>7</v>
      </c>
      <c r="C525" s="20" t="s">
        <v>279</v>
      </c>
      <c r="D525" s="20">
        <v>-0.36501740126064802</v>
      </c>
      <c r="E525" s="20">
        <v>0.20013192742842201</v>
      </c>
      <c r="F525" s="20">
        <v>-1.8238839047367801</v>
      </c>
      <c r="G525" s="20">
        <v>-0.76184204373976405</v>
      </c>
      <c r="H525" s="20">
        <v>3.1807241218468701E-2</v>
      </c>
      <c r="I525" s="20">
        <v>7.1013913989922406E-2</v>
      </c>
      <c r="J525" s="20" t="s">
        <v>200</v>
      </c>
    </row>
    <row r="526" spans="1:10" hidden="1" x14ac:dyDescent="0.2">
      <c r="A526" s="19" t="s">
        <v>277</v>
      </c>
      <c r="B526" s="9" t="s">
        <v>21</v>
      </c>
      <c r="C526" t="s">
        <v>279</v>
      </c>
      <c r="D526">
        <v>-0.21002688296944499</v>
      </c>
      <c r="E526">
        <v>0.25496419331363102</v>
      </c>
      <c r="F526">
        <v>-0.82375050488399804</v>
      </c>
      <c r="G526">
        <v>-0.71557377974254499</v>
      </c>
      <c r="H526">
        <v>0.295520013803656</v>
      </c>
      <c r="I526">
        <v>0.41194849456670402</v>
      </c>
    </row>
    <row r="527" spans="1:10" hidden="1" x14ac:dyDescent="0.2">
      <c r="A527" s="19" t="s">
        <v>277</v>
      </c>
      <c r="B527" s="13" t="s">
        <v>11</v>
      </c>
      <c r="C527" s="11" t="s">
        <v>279</v>
      </c>
      <c r="D527" s="11">
        <v>-0.49884578340277702</v>
      </c>
      <c r="E527" s="11">
        <v>0.228199204859346</v>
      </c>
      <c r="F527" s="11">
        <v>-2.1860101734808799</v>
      </c>
      <c r="G527" s="11">
        <v>-0.95132265226577195</v>
      </c>
      <c r="H527" s="11">
        <v>-4.63689145397813E-2</v>
      </c>
      <c r="I527" s="11">
        <v>3.1035933107317198E-2</v>
      </c>
      <c r="J527" s="11" t="s">
        <v>61</v>
      </c>
    </row>
    <row r="528" spans="1:10" hidden="1" x14ac:dyDescent="0.2">
      <c r="A528" s="19" t="s">
        <v>277</v>
      </c>
      <c r="B528" s="14" t="s">
        <v>13</v>
      </c>
      <c r="C528" t="s">
        <v>279</v>
      </c>
      <c r="D528">
        <v>-9.6115216275925397E-2</v>
      </c>
      <c r="E528">
        <v>0.22852585370499501</v>
      </c>
      <c r="F528">
        <v>-0.42058793225208102</v>
      </c>
      <c r="G528">
        <v>-0.54923976945924202</v>
      </c>
      <c r="H528">
        <v>0.35700933690739101</v>
      </c>
      <c r="I528">
        <v>0.67491555252812796</v>
      </c>
    </row>
    <row r="529" spans="1:9" hidden="1" x14ac:dyDescent="0.2">
      <c r="A529" s="19" t="s">
        <v>277</v>
      </c>
      <c r="B529" s="127" t="s">
        <v>17</v>
      </c>
      <c r="C529" t="s">
        <v>279</v>
      </c>
      <c r="D529">
        <v>-0.26931999489490799</v>
      </c>
      <c r="E529">
        <v>0.25848927509437403</v>
      </c>
      <c r="F529">
        <v>-1.04190007417747</v>
      </c>
      <c r="G529">
        <v>-0.78185647766424304</v>
      </c>
      <c r="H529">
        <v>0.24321648787442701</v>
      </c>
      <c r="I529">
        <v>0.29985104762516801</v>
      </c>
    </row>
    <row r="530" spans="1:9" hidden="1" x14ac:dyDescent="0.2">
      <c r="A530" s="19" t="s">
        <v>277</v>
      </c>
      <c r="B530" s="53" t="s">
        <v>26</v>
      </c>
      <c r="C530" t="s">
        <v>279</v>
      </c>
      <c r="D530">
        <v>-0.18589475772175901</v>
      </c>
      <c r="E530">
        <v>0.26565291151728398</v>
      </c>
      <c r="F530">
        <v>-0.699765557471273</v>
      </c>
      <c r="G530">
        <v>-0.71263540820635496</v>
      </c>
      <c r="H530">
        <v>0.340845892762837</v>
      </c>
      <c r="I530">
        <v>0.48562117098702001</v>
      </c>
    </row>
    <row r="531" spans="1:9" hidden="1" x14ac:dyDescent="0.2">
      <c r="A531" s="19" t="s">
        <v>277</v>
      </c>
      <c r="B531" s="5" t="s">
        <v>9</v>
      </c>
      <c r="C531" t="s">
        <v>279</v>
      </c>
      <c r="D531">
        <v>-0.31262122712592499</v>
      </c>
      <c r="E531">
        <v>0.19660980683337001</v>
      </c>
      <c r="F531">
        <v>-1.5900591743670101</v>
      </c>
      <c r="G531">
        <v>-0.70246215509302501</v>
      </c>
      <c r="H531">
        <v>7.7219700841174299E-2</v>
      </c>
      <c r="I531">
        <v>0.11482798370263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230E-3C06-0441-9031-8ED48FF813C3}">
  <dimension ref="A1:K981"/>
  <sheetViews>
    <sheetView topLeftCell="A317" zoomScale="170" zoomScaleNormal="170" workbookViewId="0">
      <selection activeCell="C488" sqref="C488"/>
    </sheetView>
  </sheetViews>
  <sheetFormatPr baseColWidth="10" defaultRowHeight="16" x14ac:dyDescent="0.2"/>
  <cols>
    <col min="1" max="1" width="19.1640625" customWidth="1"/>
    <col min="2" max="2" width="11" customWidth="1"/>
    <col min="5" max="5" width="11" customWidth="1"/>
    <col min="9" max="9" width="11.1640625" customWidth="1"/>
  </cols>
  <sheetData>
    <row r="1" spans="1:11" x14ac:dyDescent="0.2">
      <c r="A1" t="s">
        <v>0</v>
      </c>
      <c r="B1" t="s">
        <v>1</v>
      </c>
      <c r="C1" t="s">
        <v>63</v>
      </c>
      <c r="D1" t="s">
        <v>2</v>
      </c>
      <c r="E1" t="s">
        <v>3</v>
      </c>
      <c r="F1" t="s">
        <v>4</v>
      </c>
      <c r="G1" t="s">
        <v>5</v>
      </c>
      <c r="H1" t="s">
        <v>250</v>
      </c>
      <c r="I1" t="s">
        <v>251</v>
      </c>
      <c r="J1" t="s">
        <v>6</v>
      </c>
      <c r="K1" t="s">
        <v>67</v>
      </c>
    </row>
    <row r="2" spans="1:11" hidden="1" x14ac:dyDescent="0.2">
      <c r="A2" s="5" t="s">
        <v>68</v>
      </c>
      <c r="B2" t="s">
        <v>18</v>
      </c>
      <c r="C2">
        <v>0</v>
      </c>
      <c r="D2" t="s">
        <v>111</v>
      </c>
      <c r="E2">
        <v>-0.401020763680906</v>
      </c>
      <c r="F2">
        <v>0.420645222502396</v>
      </c>
      <c r="G2">
        <v>-0.953346768793081</v>
      </c>
      <c r="H2">
        <v>-1.2399712063289301</v>
      </c>
      <c r="I2">
        <v>0.43792967896712098</v>
      </c>
      <c r="J2">
        <v>0.34369493169721799</v>
      </c>
    </row>
    <row r="3" spans="1:11" hidden="1" x14ac:dyDescent="0.2">
      <c r="A3" s="5" t="s">
        <v>68</v>
      </c>
      <c r="B3" t="s">
        <v>18</v>
      </c>
      <c r="C3">
        <v>0</v>
      </c>
      <c r="D3" t="s">
        <v>202</v>
      </c>
      <c r="E3">
        <v>-0.120184810928661</v>
      </c>
      <c r="F3">
        <v>0.34638280327255999</v>
      </c>
      <c r="G3">
        <v>-0.34697106725038601</v>
      </c>
      <c r="H3">
        <v>-0.81102352865479199</v>
      </c>
      <c r="I3">
        <v>0.57065390679747097</v>
      </c>
      <c r="J3">
        <v>0.72965401811915898</v>
      </c>
    </row>
    <row r="4" spans="1:11" hidden="1" x14ac:dyDescent="0.2">
      <c r="A4" s="5" t="s">
        <v>68</v>
      </c>
      <c r="B4" t="s">
        <v>18</v>
      </c>
      <c r="C4">
        <v>0</v>
      </c>
      <c r="D4" t="s">
        <v>96</v>
      </c>
      <c r="E4">
        <v>1.5656173451384502E-2</v>
      </c>
      <c r="F4">
        <v>0.25103722750186602</v>
      </c>
      <c r="G4">
        <v>6.2365943120002501E-2</v>
      </c>
      <c r="H4">
        <v>-0.48502178951448299</v>
      </c>
      <c r="I4">
        <v>0.51633413641725201</v>
      </c>
      <c r="J4">
        <v>0.95044915299436195</v>
      </c>
    </row>
    <row r="5" spans="1:11" hidden="1" x14ac:dyDescent="0.2">
      <c r="A5" s="5" t="s">
        <v>68</v>
      </c>
      <c r="B5" t="s">
        <v>18</v>
      </c>
      <c r="C5">
        <v>1</v>
      </c>
      <c r="D5" t="s">
        <v>111</v>
      </c>
      <c r="E5">
        <v>-0.85090078691890203</v>
      </c>
      <c r="F5">
        <v>0.28211578282348398</v>
      </c>
      <c r="G5">
        <v>-3.0161403180030502</v>
      </c>
      <c r="H5">
        <v>-1.42789234846296</v>
      </c>
      <c r="I5">
        <v>-0.27390922537484103</v>
      </c>
      <c r="J5">
        <v>5.2819006077536E-3</v>
      </c>
    </row>
    <row r="6" spans="1:11" hidden="1" x14ac:dyDescent="0.2">
      <c r="A6" s="5" t="s">
        <v>68</v>
      </c>
      <c r="B6" t="s">
        <v>18</v>
      </c>
      <c r="C6">
        <v>1</v>
      </c>
      <c r="D6" t="s">
        <v>202</v>
      </c>
      <c r="E6">
        <v>-9.79874685634919E-2</v>
      </c>
      <c r="F6">
        <v>0.24624307837172699</v>
      </c>
      <c r="G6">
        <v>-0.39792983913062702</v>
      </c>
      <c r="H6">
        <v>-0.60161111161935499</v>
      </c>
      <c r="I6">
        <v>0.40563617449237099</v>
      </c>
      <c r="J6">
        <v>0.693596218591365</v>
      </c>
    </row>
    <row r="7" spans="1:11" hidden="1" x14ac:dyDescent="0.2">
      <c r="A7" s="5" t="s">
        <v>68</v>
      </c>
      <c r="B7" t="s">
        <v>18</v>
      </c>
      <c r="C7">
        <v>1</v>
      </c>
      <c r="D7" t="s">
        <v>96</v>
      </c>
      <c r="E7">
        <v>0.115801958727742</v>
      </c>
      <c r="F7">
        <v>0.204161681943166</v>
      </c>
      <c r="G7">
        <v>0.56720711558390902</v>
      </c>
      <c r="H7">
        <v>-0.30175556497008899</v>
      </c>
      <c r="I7">
        <v>0.53335948242557396</v>
      </c>
      <c r="J7">
        <v>0.574938278450148</v>
      </c>
    </row>
    <row r="8" spans="1:11" hidden="1" x14ac:dyDescent="0.2">
      <c r="A8" s="5" t="s">
        <v>68</v>
      </c>
      <c r="B8" t="s">
        <v>25</v>
      </c>
      <c r="C8">
        <v>0</v>
      </c>
      <c r="D8" t="s">
        <v>111</v>
      </c>
      <c r="E8">
        <v>-0.58982603370235898</v>
      </c>
      <c r="F8">
        <v>0.423166035204177</v>
      </c>
      <c r="G8">
        <v>-1.39384067867774</v>
      </c>
      <c r="H8">
        <v>-1.43380407875464</v>
      </c>
      <c r="I8">
        <v>0.25415201134992399</v>
      </c>
      <c r="J8">
        <v>0.167774997217988</v>
      </c>
    </row>
    <row r="9" spans="1:11" hidden="1" x14ac:dyDescent="0.2">
      <c r="A9" s="5" t="s">
        <v>68</v>
      </c>
      <c r="B9" t="s">
        <v>25</v>
      </c>
      <c r="C9">
        <v>0</v>
      </c>
      <c r="D9" t="s">
        <v>202</v>
      </c>
      <c r="E9">
        <v>-0.20595197186504599</v>
      </c>
      <c r="F9">
        <v>0.34845858144251901</v>
      </c>
      <c r="G9">
        <v>-0.59103716433805198</v>
      </c>
      <c r="H9">
        <v>-0.90093069860914798</v>
      </c>
      <c r="I9">
        <v>0.489026754879055</v>
      </c>
      <c r="J9">
        <v>0.556399219824111</v>
      </c>
    </row>
    <row r="10" spans="1:11" hidden="1" x14ac:dyDescent="0.2">
      <c r="A10" s="5" t="s">
        <v>68</v>
      </c>
      <c r="B10" t="s">
        <v>25</v>
      </c>
      <c r="C10">
        <v>0</v>
      </c>
      <c r="D10" t="s">
        <v>96</v>
      </c>
      <c r="E10">
        <v>3.72256476419199E-2</v>
      </c>
      <c r="F10">
        <v>0.25254162550249398</v>
      </c>
      <c r="G10">
        <v>0.14740400742986501</v>
      </c>
      <c r="H10">
        <v>-0.46645274252727498</v>
      </c>
      <c r="I10">
        <v>0.54090403781111496</v>
      </c>
      <c r="J10">
        <v>0.88323688974929504</v>
      </c>
    </row>
    <row r="11" spans="1:11" hidden="1" x14ac:dyDescent="0.2">
      <c r="A11" s="5" t="s">
        <v>68</v>
      </c>
      <c r="B11" t="s">
        <v>25</v>
      </c>
      <c r="C11">
        <v>1</v>
      </c>
      <c r="D11" t="s">
        <v>111</v>
      </c>
      <c r="E11">
        <v>-0.75784706367441401</v>
      </c>
      <c r="F11">
        <v>0.398148752789588</v>
      </c>
      <c r="G11">
        <v>-1.90342694373557</v>
      </c>
      <c r="H11">
        <v>-1.5721526948578499</v>
      </c>
      <c r="I11">
        <v>5.6458567509017503E-2</v>
      </c>
      <c r="J11">
        <v>6.6952719662301499E-2</v>
      </c>
    </row>
    <row r="12" spans="1:11" hidden="1" x14ac:dyDescent="0.2">
      <c r="A12" s="5" t="s">
        <v>68</v>
      </c>
      <c r="B12" t="s">
        <v>25</v>
      </c>
      <c r="C12">
        <v>1</v>
      </c>
      <c r="D12" t="s">
        <v>202</v>
      </c>
      <c r="E12">
        <v>0.10340320548015899</v>
      </c>
      <c r="F12">
        <v>0.34752176413368302</v>
      </c>
      <c r="G12">
        <v>0.29754454584427698</v>
      </c>
      <c r="H12">
        <v>-0.6073586078123</v>
      </c>
      <c r="I12">
        <v>0.81416501877261704</v>
      </c>
      <c r="J12">
        <v>0.76817193732994704</v>
      </c>
    </row>
    <row r="13" spans="1:11" hidden="1" x14ac:dyDescent="0.2">
      <c r="A13" s="5" t="s">
        <v>68</v>
      </c>
      <c r="B13" t="s">
        <v>25</v>
      </c>
      <c r="C13">
        <v>1</v>
      </c>
      <c r="D13" t="s">
        <v>96</v>
      </c>
      <c r="E13">
        <v>-3.5682508177623001E-2</v>
      </c>
      <c r="F13">
        <v>0.28813247603362901</v>
      </c>
      <c r="G13">
        <v>-0.12384063285340401</v>
      </c>
      <c r="H13">
        <v>-0.62497958902269202</v>
      </c>
      <c r="I13">
        <v>0.55361457266744596</v>
      </c>
      <c r="J13">
        <v>0.90229583655448298</v>
      </c>
    </row>
    <row r="14" spans="1:11" hidden="1" x14ac:dyDescent="0.2">
      <c r="A14" s="5" t="s">
        <v>68</v>
      </c>
      <c r="B14" t="s">
        <v>14</v>
      </c>
      <c r="C14">
        <v>0</v>
      </c>
      <c r="D14" t="s">
        <v>111</v>
      </c>
      <c r="E14">
        <v>-0.41073014314620498</v>
      </c>
      <c r="F14">
        <v>0.412474565209205</v>
      </c>
      <c r="G14">
        <v>-0.99577083725849902</v>
      </c>
      <c r="H14">
        <v>-1.2333847236611299</v>
      </c>
      <c r="I14">
        <v>0.41192443736871698</v>
      </c>
      <c r="J14">
        <v>0.32279128979053801</v>
      </c>
    </row>
    <row r="15" spans="1:11" hidden="1" x14ac:dyDescent="0.2">
      <c r="A15" s="5" t="s">
        <v>68</v>
      </c>
      <c r="B15" t="s">
        <v>14</v>
      </c>
      <c r="C15">
        <v>0</v>
      </c>
      <c r="D15" t="s">
        <v>202</v>
      </c>
      <c r="E15">
        <v>-0.17218063756284399</v>
      </c>
      <c r="F15">
        <v>0.33965462706516503</v>
      </c>
      <c r="G15">
        <v>-0.50692857933541402</v>
      </c>
      <c r="H15">
        <v>-0.84960043096641003</v>
      </c>
      <c r="I15">
        <v>0.50523915584072299</v>
      </c>
      <c r="J15">
        <v>0.61379815373136304</v>
      </c>
    </row>
    <row r="16" spans="1:11" hidden="1" x14ac:dyDescent="0.2">
      <c r="A16" s="5" t="s">
        <v>68</v>
      </c>
      <c r="B16" t="s">
        <v>14</v>
      </c>
      <c r="C16">
        <v>0</v>
      </c>
      <c r="D16" t="s">
        <v>96</v>
      </c>
      <c r="E16">
        <v>-0.15169945761810599</v>
      </c>
      <c r="F16">
        <v>0.24616105384286499</v>
      </c>
      <c r="G16">
        <v>-0.61626100168933295</v>
      </c>
      <c r="H16">
        <v>-0.64265219887502101</v>
      </c>
      <c r="I16">
        <v>0.33925328363880902</v>
      </c>
      <c r="J16">
        <v>0.53972121791585703</v>
      </c>
    </row>
    <row r="17" spans="1:10" hidden="1" x14ac:dyDescent="0.2">
      <c r="A17" s="5" t="s">
        <v>68</v>
      </c>
      <c r="B17" t="s">
        <v>14</v>
      </c>
      <c r="C17">
        <v>1</v>
      </c>
      <c r="D17" t="s">
        <v>111</v>
      </c>
      <c r="E17">
        <v>-0.762470238707045</v>
      </c>
      <c r="F17">
        <v>0.30865088807468</v>
      </c>
      <c r="G17">
        <v>-2.4703322367326601</v>
      </c>
      <c r="H17">
        <v>-1.39373218406796</v>
      </c>
      <c r="I17">
        <v>-0.13120829334612599</v>
      </c>
      <c r="J17">
        <v>1.9621950921580401E-2</v>
      </c>
    </row>
    <row r="18" spans="1:10" hidden="1" x14ac:dyDescent="0.2">
      <c r="A18" s="5" t="s">
        <v>68</v>
      </c>
      <c r="B18" t="s">
        <v>14</v>
      </c>
      <c r="C18">
        <v>1</v>
      </c>
      <c r="D18" t="s">
        <v>202</v>
      </c>
      <c r="E18">
        <v>-0.23971710273611099</v>
      </c>
      <c r="F18">
        <v>0.2694040867229</v>
      </c>
      <c r="G18">
        <v>-0.88980499758593401</v>
      </c>
      <c r="H18">
        <v>-0.79071032661347596</v>
      </c>
      <c r="I18">
        <v>0.31127612114125403</v>
      </c>
      <c r="J18">
        <v>0.38089293631069199</v>
      </c>
    </row>
    <row r="19" spans="1:10" hidden="1" x14ac:dyDescent="0.2">
      <c r="A19" s="5" t="s">
        <v>68</v>
      </c>
      <c r="B19" t="s">
        <v>14</v>
      </c>
      <c r="C19">
        <v>1</v>
      </c>
      <c r="D19" t="s">
        <v>96</v>
      </c>
      <c r="E19">
        <v>8.8805402067292497E-2</v>
      </c>
      <c r="F19">
        <v>0.223364619348524</v>
      </c>
      <c r="G19">
        <v>0.397580432954451</v>
      </c>
      <c r="H19">
        <v>-0.36802653842799798</v>
      </c>
      <c r="I19">
        <v>0.54563734256258301</v>
      </c>
      <c r="J19">
        <v>0.69385095130775998</v>
      </c>
    </row>
    <row r="20" spans="1:10" hidden="1" x14ac:dyDescent="0.2">
      <c r="A20" s="5" t="s">
        <v>68</v>
      </c>
      <c r="B20" t="s">
        <v>7</v>
      </c>
      <c r="C20">
        <v>0</v>
      </c>
      <c r="D20" t="s">
        <v>111</v>
      </c>
      <c r="E20">
        <v>-0.647243078170886</v>
      </c>
      <c r="F20">
        <v>0.333300830094233</v>
      </c>
      <c r="G20">
        <v>-1.9419185904454299</v>
      </c>
      <c r="H20">
        <v>-1.3119906230949701</v>
      </c>
      <c r="I20">
        <v>1.7504466753195599E-2</v>
      </c>
      <c r="J20">
        <v>5.6171956443903603E-2</v>
      </c>
    </row>
    <row r="21" spans="1:10" hidden="1" x14ac:dyDescent="0.2">
      <c r="A21" s="5" t="s">
        <v>68</v>
      </c>
      <c r="B21" t="s">
        <v>7</v>
      </c>
      <c r="C21">
        <v>0</v>
      </c>
      <c r="D21" t="s">
        <v>202</v>
      </c>
      <c r="E21">
        <v>-0.12761508243142999</v>
      </c>
      <c r="F21">
        <v>0.274458545313572</v>
      </c>
      <c r="G21">
        <v>-0.46497033745343402</v>
      </c>
      <c r="H21">
        <v>-0.67500539084755296</v>
      </c>
      <c r="I21">
        <v>0.41977522598469202</v>
      </c>
      <c r="J21">
        <v>0.64339588241295198</v>
      </c>
    </row>
    <row r="22" spans="1:10" hidden="1" x14ac:dyDescent="0.2">
      <c r="A22" s="5" t="s">
        <v>68</v>
      </c>
      <c r="B22" t="s">
        <v>7</v>
      </c>
      <c r="C22">
        <v>0</v>
      </c>
      <c r="D22" t="s">
        <v>96</v>
      </c>
      <c r="E22">
        <v>2.0050105600231101E-3</v>
      </c>
      <c r="F22">
        <v>0.19891089173240301</v>
      </c>
      <c r="G22">
        <v>1.0079943549398399E-2</v>
      </c>
      <c r="H22">
        <v>-0.39471025384658198</v>
      </c>
      <c r="I22">
        <v>0.39872027496662799</v>
      </c>
      <c r="J22">
        <v>0.99198617779354903</v>
      </c>
    </row>
    <row r="23" spans="1:10" hidden="1" x14ac:dyDescent="0.2">
      <c r="A23" s="5" t="s">
        <v>68</v>
      </c>
      <c r="B23" t="s">
        <v>7</v>
      </c>
      <c r="C23">
        <v>1</v>
      </c>
      <c r="D23" t="s">
        <v>111</v>
      </c>
      <c r="E23">
        <v>-0.69157549666630902</v>
      </c>
      <c r="F23">
        <v>0.41032377542417903</v>
      </c>
      <c r="G23">
        <v>-1.6854385197430599</v>
      </c>
      <c r="H23">
        <v>-1.5307818450356401</v>
      </c>
      <c r="I23">
        <v>0.14763085170302301</v>
      </c>
      <c r="J23">
        <v>0.102636702405799</v>
      </c>
    </row>
    <row r="24" spans="1:10" hidden="1" x14ac:dyDescent="0.2">
      <c r="A24" s="5" t="s">
        <v>68</v>
      </c>
      <c r="B24" t="s">
        <v>7</v>
      </c>
      <c r="C24">
        <v>1</v>
      </c>
      <c r="D24" t="s">
        <v>202</v>
      </c>
      <c r="E24">
        <v>-5.9934102880952397E-2</v>
      </c>
      <c r="F24">
        <v>0.35814866002295997</v>
      </c>
      <c r="G24">
        <v>-0.16734420527249799</v>
      </c>
      <c r="H24">
        <v>-0.79243035865001799</v>
      </c>
      <c r="I24">
        <v>0.67256215288811305</v>
      </c>
      <c r="J24">
        <v>0.86826071169312902</v>
      </c>
    </row>
    <row r="25" spans="1:10" hidden="1" x14ac:dyDescent="0.2">
      <c r="A25" s="5" t="s">
        <v>68</v>
      </c>
      <c r="B25" t="s">
        <v>7</v>
      </c>
      <c r="C25">
        <v>1</v>
      </c>
      <c r="D25" t="s">
        <v>96</v>
      </c>
      <c r="E25">
        <v>-0.21846974215086701</v>
      </c>
      <c r="F25">
        <v>0.29694330212033998</v>
      </c>
      <c r="G25">
        <v>-0.73572880947598995</v>
      </c>
      <c r="H25">
        <v>-0.82578698568015396</v>
      </c>
      <c r="I25">
        <v>0.38884750137842</v>
      </c>
      <c r="J25">
        <v>0.46780510825864002</v>
      </c>
    </row>
    <row r="26" spans="1:10" hidden="1" x14ac:dyDescent="0.2">
      <c r="A26" s="5" t="s">
        <v>68</v>
      </c>
      <c r="B26" t="s">
        <v>21</v>
      </c>
      <c r="C26">
        <v>0</v>
      </c>
      <c r="D26" t="s">
        <v>111</v>
      </c>
      <c r="E26">
        <v>-0.39111710022672302</v>
      </c>
      <c r="F26">
        <v>0.454590999234954</v>
      </c>
      <c r="G26">
        <v>-0.860371412731328</v>
      </c>
      <c r="H26">
        <v>-1.29777025977806</v>
      </c>
      <c r="I26">
        <v>0.51553605932461599</v>
      </c>
      <c r="J26">
        <v>0.39252160550988602</v>
      </c>
    </row>
    <row r="27" spans="1:10" hidden="1" x14ac:dyDescent="0.2">
      <c r="A27" s="5" t="s">
        <v>68</v>
      </c>
      <c r="B27" t="s">
        <v>21</v>
      </c>
      <c r="C27">
        <v>0</v>
      </c>
      <c r="D27" t="s">
        <v>202</v>
      </c>
      <c r="E27">
        <v>-0.150274202594432</v>
      </c>
      <c r="F27">
        <v>0.37433565445184702</v>
      </c>
      <c r="G27">
        <v>-0.40144239750414201</v>
      </c>
      <c r="H27">
        <v>-0.89686312409235103</v>
      </c>
      <c r="I27">
        <v>0.59631471890348797</v>
      </c>
      <c r="J27">
        <v>0.68931737442721897</v>
      </c>
    </row>
    <row r="28" spans="1:10" hidden="1" x14ac:dyDescent="0.2">
      <c r="A28" s="5" t="s">
        <v>68</v>
      </c>
      <c r="B28" t="s">
        <v>21</v>
      </c>
      <c r="C28">
        <v>0</v>
      </c>
      <c r="D28" t="s">
        <v>96</v>
      </c>
      <c r="E28">
        <v>0.29365712325256599</v>
      </c>
      <c r="F28">
        <v>0.27129575706662301</v>
      </c>
      <c r="G28">
        <v>1.0824243122256101</v>
      </c>
      <c r="H28">
        <v>-0.24742520290716699</v>
      </c>
      <c r="I28">
        <v>0.83473944941229805</v>
      </c>
      <c r="J28">
        <v>0.282778691967148</v>
      </c>
    </row>
    <row r="29" spans="1:10" hidden="1" x14ac:dyDescent="0.2">
      <c r="A29" s="5" t="s">
        <v>68</v>
      </c>
      <c r="B29" t="s">
        <v>21</v>
      </c>
      <c r="C29">
        <v>1</v>
      </c>
      <c r="D29" t="s">
        <v>111</v>
      </c>
      <c r="E29">
        <v>0.243268178707785</v>
      </c>
      <c r="F29">
        <v>0.448180147122064</v>
      </c>
      <c r="G29">
        <v>0.54279106352635897</v>
      </c>
      <c r="H29">
        <v>-0.67336314320165702</v>
      </c>
      <c r="I29">
        <v>1.1598995006172299</v>
      </c>
      <c r="J29">
        <v>0.59142130246520197</v>
      </c>
    </row>
    <row r="30" spans="1:10" hidden="1" x14ac:dyDescent="0.2">
      <c r="A30" s="5" t="s">
        <v>68</v>
      </c>
      <c r="B30" t="s">
        <v>21</v>
      </c>
      <c r="C30">
        <v>1</v>
      </c>
      <c r="D30" t="s">
        <v>202</v>
      </c>
      <c r="E30">
        <v>-0.41658342724206299</v>
      </c>
      <c r="F30">
        <v>0.39119136826698703</v>
      </c>
      <c r="G30">
        <v>-1.0649095584280499</v>
      </c>
      <c r="H30">
        <v>-1.2166596093681601</v>
      </c>
      <c r="I30">
        <v>0.38349275488402901</v>
      </c>
      <c r="J30">
        <v>0.29570347510825201</v>
      </c>
    </row>
    <row r="31" spans="1:10" hidden="1" x14ac:dyDescent="0.2">
      <c r="A31" s="5" t="s">
        <v>68</v>
      </c>
      <c r="B31" t="s">
        <v>21</v>
      </c>
      <c r="C31">
        <v>1</v>
      </c>
      <c r="D31" t="s">
        <v>96</v>
      </c>
      <c r="E31">
        <v>0.166740493368496</v>
      </c>
      <c r="F31">
        <v>0.32433921893418899</v>
      </c>
      <c r="G31">
        <v>0.514092911478364</v>
      </c>
      <c r="H31">
        <v>-0.49660769130187699</v>
      </c>
      <c r="I31">
        <v>0.83008867803886799</v>
      </c>
      <c r="J31">
        <v>0.61108253543435798</v>
      </c>
    </row>
    <row r="32" spans="1:10" hidden="1" x14ac:dyDescent="0.2">
      <c r="A32" s="5" t="s">
        <v>68</v>
      </c>
      <c r="B32" t="s">
        <v>11</v>
      </c>
      <c r="C32">
        <v>0</v>
      </c>
      <c r="D32" t="s">
        <v>111</v>
      </c>
      <c r="E32">
        <v>-0.55739217235525096</v>
      </c>
      <c r="F32">
        <v>0.41985314820644698</v>
      </c>
      <c r="G32">
        <v>-1.3275884073666</v>
      </c>
      <c r="H32">
        <v>-1.3947628726321599</v>
      </c>
      <c r="I32">
        <v>0.27997852792165501</v>
      </c>
      <c r="J32">
        <v>0.188627473867719</v>
      </c>
    </row>
    <row r="33" spans="1:10" hidden="1" x14ac:dyDescent="0.2">
      <c r="A33" s="5" t="s">
        <v>68</v>
      </c>
      <c r="B33" t="s">
        <v>11</v>
      </c>
      <c r="C33">
        <v>0</v>
      </c>
      <c r="D33" t="s">
        <v>202</v>
      </c>
      <c r="E33">
        <v>9.4259346637139696E-2</v>
      </c>
      <c r="F33">
        <v>0.34573056499584998</v>
      </c>
      <c r="G33">
        <v>0.27263816445696998</v>
      </c>
      <c r="H33">
        <v>-0.59527852286420402</v>
      </c>
      <c r="I33">
        <v>0.78379721613848397</v>
      </c>
      <c r="J33">
        <v>0.78593403264990802</v>
      </c>
    </row>
    <row r="34" spans="1:10" hidden="1" x14ac:dyDescent="0.2">
      <c r="A34" s="5" t="s">
        <v>68</v>
      </c>
      <c r="B34" t="s">
        <v>11</v>
      </c>
      <c r="C34">
        <v>0</v>
      </c>
      <c r="D34" t="s">
        <v>96</v>
      </c>
      <c r="E34">
        <v>-6.6053006290762495E-2</v>
      </c>
      <c r="F34">
        <v>0.25056452479518199</v>
      </c>
      <c r="G34">
        <v>-0.26361675239045101</v>
      </c>
      <c r="H34">
        <v>-0.56578819343558395</v>
      </c>
      <c r="I34">
        <v>0.43368218085405902</v>
      </c>
      <c r="J34">
        <v>0.79284973174251305</v>
      </c>
    </row>
    <row r="35" spans="1:10" hidden="1" x14ac:dyDescent="0.2">
      <c r="A35" s="5" t="s">
        <v>68</v>
      </c>
      <c r="B35" t="s">
        <v>11</v>
      </c>
      <c r="C35">
        <v>1</v>
      </c>
      <c r="D35" t="s">
        <v>111</v>
      </c>
      <c r="E35">
        <v>-0.84950526875683996</v>
      </c>
      <c r="F35">
        <v>0.32877366213311099</v>
      </c>
      <c r="G35">
        <v>-2.5838604687649802</v>
      </c>
      <c r="H35">
        <v>-1.521922908104</v>
      </c>
      <c r="I35">
        <v>-0.17708762940967801</v>
      </c>
      <c r="J35">
        <v>1.5075189263265299E-2</v>
      </c>
    </row>
    <row r="36" spans="1:10" hidden="1" x14ac:dyDescent="0.2">
      <c r="A36" s="5" t="s">
        <v>68</v>
      </c>
      <c r="B36" t="s">
        <v>11</v>
      </c>
      <c r="C36">
        <v>1</v>
      </c>
      <c r="D36" t="s">
        <v>202</v>
      </c>
      <c r="E36">
        <v>0.30869189476785702</v>
      </c>
      <c r="F36">
        <v>0.28696813003850302</v>
      </c>
      <c r="G36">
        <v>1.0757009662586501</v>
      </c>
      <c r="H36">
        <v>-0.27822383113428201</v>
      </c>
      <c r="I36">
        <v>0.895607620669995</v>
      </c>
      <c r="J36">
        <v>0.29092932018038598</v>
      </c>
    </row>
    <row r="37" spans="1:10" hidden="1" x14ac:dyDescent="0.2">
      <c r="A37" s="5" t="s">
        <v>68</v>
      </c>
      <c r="B37" t="s">
        <v>11</v>
      </c>
      <c r="C37">
        <v>1</v>
      </c>
      <c r="D37" t="s">
        <v>96</v>
      </c>
      <c r="E37">
        <v>-0.17477460388603</v>
      </c>
      <c r="F37">
        <v>0.237927077910803</v>
      </c>
      <c r="G37">
        <v>-0.73457214462807696</v>
      </c>
      <c r="H37">
        <v>-0.66139011629522104</v>
      </c>
      <c r="I37">
        <v>0.31184090852316099</v>
      </c>
      <c r="J37">
        <v>0.46849872347313198</v>
      </c>
    </row>
    <row r="38" spans="1:10" hidden="1" x14ac:dyDescent="0.2">
      <c r="A38" s="5" t="s">
        <v>68</v>
      </c>
      <c r="B38" t="s">
        <v>13</v>
      </c>
      <c r="C38">
        <v>0</v>
      </c>
      <c r="D38" t="s">
        <v>111</v>
      </c>
      <c r="E38">
        <v>3.7033371489413297E-2</v>
      </c>
      <c r="F38">
        <v>0.41266466445322197</v>
      </c>
      <c r="G38">
        <v>8.9742046459156705E-2</v>
      </c>
      <c r="H38">
        <v>-0.78600035001269597</v>
      </c>
      <c r="I38">
        <v>0.86006709299152295</v>
      </c>
      <c r="J38">
        <v>0.92874848478005001</v>
      </c>
    </row>
    <row r="39" spans="1:10" hidden="1" x14ac:dyDescent="0.2">
      <c r="A39" s="5" t="s">
        <v>68</v>
      </c>
      <c r="B39" t="s">
        <v>13</v>
      </c>
      <c r="C39">
        <v>0</v>
      </c>
      <c r="D39" t="s">
        <v>202</v>
      </c>
      <c r="E39">
        <v>0.239719489112902</v>
      </c>
      <c r="F39">
        <v>0.33981116541510997</v>
      </c>
      <c r="G39">
        <v>0.705449124427865</v>
      </c>
      <c r="H39">
        <v>-0.43801251018520998</v>
      </c>
      <c r="I39">
        <v>0.91745148841101398</v>
      </c>
      <c r="J39">
        <v>0.48287178762413002</v>
      </c>
    </row>
    <row r="40" spans="1:10" hidden="1" x14ac:dyDescent="0.2">
      <c r="A40" s="5" t="s">
        <v>68</v>
      </c>
      <c r="B40" t="s">
        <v>13</v>
      </c>
      <c r="C40">
        <v>0</v>
      </c>
      <c r="D40" t="s">
        <v>96</v>
      </c>
      <c r="E40">
        <v>0.120200408212086</v>
      </c>
      <c r="F40">
        <v>0.24627450333572801</v>
      </c>
      <c r="G40">
        <v>0.488074918775596</v>
      </c>
      <c r="H40">
        <v>-0.37097860092370799</v>
      </c>
      <c r="I40">
        <v>0.61137941734788004</v>
      </c>
      <c r="J40">
        <v>0.62702214620123997</v>
      </c>
    </row>
    <row r="41" spans="1:10" hidden="1" x14ac:dyDescent="0.2">
      <c r="A41" s="5" t="s">
        <v>68</v>
      </c>
      <c r="B41" t="s">
        <v>13</v>
      </c>
      <c r="C41">
        <v>1</v>
      </c>
      <c r="D41" t="s">
        <v>111</v>
      </c>
      <c r="E41">
        <v>-0.74529420761868503</v>
      </c>
      <c r="F41">
        <v>0.34979703626147601</v>
      </c>
      <c r="G41">
        <v>-2.1306475766180299</v>
      </c>
      <c r="H41">
        <v>-1.46070947491083</v>
      </c>
      <c r="I41">
        <v>-2.9878940326545599E-2</v>
      </c>
      <c r="J41">
        <v>4.1724334305073101E-2</v>
      </c>
    </row>
    <row r="42" spans="1:10" hidden="1" x14ac:dyDescent="0.2">
      <c r="A42" s="5" t="s">
        <v>68</v>
      </c>
      <c r="B42" t="s">
        <v>13</v>
      </c>
      <c r="C42">
        <v>1</v>
      </c>
      <c r="D42" t="s">
        <v>202</v>
      </c>
      <c r="E42">
        <v>-0.385062208472222</v>
      </c>
      <c r="F42">
        <v>0.305318256753562</v>
      </c>
      <c r="G42">
        <v>-1.2611830441015</v>
      </c>
      <c r="H42">
        <v>-1.00950815746889</v>
      </c>
      <c r="I42">
        <v>0.239383740524448</v>
      </c>
      <c r="J42">
        <v>0.217294505303888</v>
      </c>
    </row>
    <row r="43" spans="1:10" hidden="1" x14ac:dyDescent="0.2">
      <c r="A43" s="5" t="s">
        <v>68</v>
      </c>
      <c r="B43" t="s">
        <v>13</v>
      </c>
      <c r="C43">
        <v>1</v>
      </c>
      <c r="D43" t="s">
        <v>96</v>
      </c>
      <c r="E43">
        <v>0.35546870216593901</v>
      </c>
      <c r="F43">
        <v>0.25314128315380702</v>
      </c>
      <c r="G43">
        <v>1.4042304666282299</v>
      </c>
      <c r="H43">
        <v>-0.16226335378773599</v>
      </c>
      <c r="I43">
        <v>0.87320075811961395</v>
      </c>
      <c r="J43">
        <v>0.17087006814653299</v>
      </c>
    </row>
    <row r="44" spans="1:10" hidden="1" x14ac:dyDescent="0.2">
      <c r="A44" s="5" t="s">
        <v>68</v>
      </c>
      <c r="B44" t="s">
        <v>17</v>
      </c>
      <c r="C44">
        <v>0</v>
      </c>
      <c r="D44" t="s">
        <v>111</v>
      </c>
      <c r="E44">
        <v>-0.42950260225729198</v>
      </c>
      <c r="F44">
        <v>0.49701280580767498</v>
      </c>
      <c r="G44">
        <v>-0.86416808025564895</v>
      </c>
      <c r="H44">
        <v>-1.42076338718565</v>
      </c>
      <c r="I44">
        <v>0.56175818267106103</v>
      </c>
      <c r="J44">
        <v>0.390447180481933</v>
      </c>
    </row>
    <row r="45" spans="1:10" hidden="1" x14ac:dyDescent="0.2">
      <c r="A45" s="5" t="s">
        <v>68</v>
      </c>
      <c r="B45" t="s">
        <v>17</v>
      </c>
      <c r="C45">
        <v>0</v>
      </c>
      <c r="D45" t="s">
        <v>202</v>
      </c>
      <c r="E45">
        <v>-0.271773574096349</v>
      </c>
      <c r="F45">
        <v>0.40926814267346701</v>
      </c>
      <c r="G45">
        <v>-0.66404771287850195</v>
      </c>
      <c r="H45">
        <v>-1.08803314650998</v>
      </c>
      <c r="I45">
        <v>0.54448599831727895</v>
      </c>
      <c r="J45">
        <v>0.508841184917454</v>
      </c>
    </row>
    <row r="46" spans="1:10" hidden="1" x14ac:dyDescent="0.2">
      <c r="A46" s="5" t="s">
        <v>68</v>
      </c>
      <c r="B46" t="s">
        <v>17</v>
      </c>
      <c r="C46">
        <v>0</v>
      </c>
      <c r="D46" t="s">
        <v>96</v>
      </c>
      <c r="E46">
        <v>0.30530172158865998</v>
      </c>
      <c r="F46">
        <v>0.29661270383778399</v>
      </c>
      <c r="G46">
        <v>1.02929415240295</v>
      </c>
      <c r="H46">
        <v>-0.28627366276821298</v>
      </c>
      <c r="I46">
        <v>0.89687710594553205</v>
      </c>
      <c r="J46">
        <v>0.30688495100577901</v>
      </c>
    </row>
    <row r="47" spans="1:10" hidden="1" x14ac:dyDescent="0.2">
      <c r="A47" s="5" t="s">
        <v>68</v>
      </c>
      <c r="B47" t="s">
        <v>17</v>
      </c>
      <c r="C47">
        <v>1</v>
      </c>
      <c r="D47" t="s">
        <v>111</v>
      </c>
      <c r="E47">
        <v>0.164864903064951</v>
      </c>
      <c r="F47">
        <v>0.309414299344143</v>
      </c>
      <c r="G47">
        <v>0.53282897207533797</v>
      </c>
      <c r="H47">
        <v>-0.46795839365341202</v>
      </c>
      <c r="I47">
        <v>0.79768819978331296</v>
      </c>
      <c r="J47">
        <v>0.59821169161341403</v>
      </c>
    </row>
    <row r="48" spans="1:10" hidden="1" x14ac:dyDescent="0.2">
      <c r="A48" s="5" t="s">
        <v>68</v>
      </c>
      <c r="B48" t="s">
        <v>17</v>
      </c>
      <c r="C48">
        <v>1</v>
      </c>
      <c r="D48" t="s">
        <v>202</v>
      </c>
      <c r="E48">
        <v>-0.33654074735714201</v>
      </c>
      <c r="F48">
        <v>0.270070425696122</v>
      </c>
      <c r="G48">
        <v>-1.2461221790193799</v>
      </c>
      <c r="H48">
        <v>-0.88889678745424805</v>
      </c>
      <c r="I48">
        <v>0.215815292739963</v>
      </c>
      <c r="J48">
        <v>0.22269255997211601</v>
      </c>
    </row>
    <row r="49" spans="1:10" hidden="1" x14ac:dyDescent="0.2">
      <c r="A49" s="5" t="s">
        <v>68</v>
      </c>
      <c r="B49" t="s">
        <v>17</v>
      </c>
      <c r="C49">
        <v>1</v>
      </c>
      <c r="D49" t="s">
        <v>96</v>
      </c>
      <c r="E49">
        <v>0.185799526494319</v>
      </c>
      <c r="F49">
        <v>0.223917085173825</v>
      </c>
      <c r="G49">
        <v>0.82976931550392696</v>
      </c>
      <c r="H49">
        <v>-0.27216233348314101</v>
      </c>
      <c r="I49">
        <v>0.64376138647178005</v>
      </c>
      <c r="J49">
        <v>0.41344782213744402</v>
      </c>
    </row>
    <row r="50" spans="1:10" hidden="1" x14ac:dyDescent="0.2">
      <c r="A50" s="5" t="s">
        <v>68</v>
      </c>
      <c r="B50" t="s">
        <v>26</v>
      </c>
      <c r="C50">
        <v>0</v>
      </c>
      <c r="D50" t="s">
        <v>111</v>
      </c>
      <c r="E50">
        <v>-9.5010494407581206E-2</v>
      </c>
      <c r="F50">
        <v>0.49107235524847298</v>
      </c>
      <c r="G50">
        <v>-0.19347555078621301</v>
      </c>
      <c r="H50">
        <v>-1.0744234242800199</v>
      </c>
      <c r="I50">
        <v>0.88440243546485697</v>
      </c>
      <c r="J50">
        <v>0.84714686267039196</v>
      </c>
    </row>
    <row r="51" spans="1:10" hidden="1" x14ac:dyDescent="0.2">
      <c r="A51" s="5" t="s">
        <v>68</v>
      </c>
      <c r="B51" t="s">
        <v>26</v>
      </c>
      <c r="C51">
        <v>0</v>
      </c>
      <c r="D51" t="s">
        <v>202</v>
      </c>
      <c r="E51">
        <v>-0.25055027788280898</v>
      </c>
      <c r="F51">
        <v>0.40437644342829898</v>
      </c>
      <c r="G51">
        <v>-0.61959662080868605</v>
      </c>
      <c r="H51">
        <v>-1.0570536637822501</v>
      </c>
      <c r="I51">
        <v>0.555953108016632</v>
      </c>
      <c r="J51">
        <v>0.53753499318165199</v>
      </c>
    </row>
    <row r="52" spans="1:10" hidden="1" x14ac:dyDescent="0.2">
      <c r="A52" s="5" t="s">
        <v>68</v>
      </c>
      <c r="B52" t="s">
        <v>26</v>
      </c>
      <c r="C52">
        <v>0</v>
      </c>
      <c r="D52" t="s">
        <v>96</v>
      </c>
      <c r="E52">
        <v>0.45168703085506701</v>
      </c>
      <c r="F52">
        <v>0.29306749719161701</v>
      </c>
      <c r="G52">
        <v>1.5412389131632001</v>
      </c>
      <c r="H52">
        <v>-0.132817661797791</v>
      </c>
      <c r="I52">
        <v>1.0361917235079301</v>
      </c>
      <c r="J52">
        <v>0.127767417191225</v>
      </c>
    </row>
    <row r="53" spans="1:10" hidden="1" x14ac:dyDescent="0.2">
      <c r="A53" s="5" t="s">
        <v>68</v>
      </c>
      <c r="B53" t="s">
        <v>26</v>
      </c>
      <c r="C53">
        <v>1</v>
      </c>
      <c r="D53" t="s">
        <v>111</v>
      </c>
      <c r="E53">
        <v>4.63294225910156E-2</v>
      </c>
      <c r="F53">
        <v>0.387256337395118</v>
      </c>
      <c r="G53">
        <v>0.119635027544419</v>
      </c>
      <c r="H53">
        <v>-0.74569871775322305</v>
      </c>
      <c r="I53">
        <v>0.83835756293525499</v>
      </c>
      <c r="J53">
        <v>0.90559722637145901</v>
      </c>
    </row>
    <row r="54" spans="1:10" hidden="1" x14ac:dyDescent="0.2">
      <c r="A54" s="5" t="s">
        <v>68</v>
      </c>
      <c r="B54" t="s">
        <v>26</v>
      </c>
      <c r="C54">
        <v>1</v>
      </c>
      <c r="D54" t="s">
        <v>202</v>
      </c>
      <c r="E54">
        <v>-0.34888927979960299</v>
      </c>
      <c r="F54">
        <v>0.33801438432389702</v>
      </c>
      <c r="G54">
        <v>-1.03217287778287</v>
      </c>
      <c r="H54">
        <v>-1.0402063180860699</v>
      </c>
      <c r="I54">
        <v>0.34242775848686702</v>
      </c>
      <c r="J54">
        <v>0.31052281325411601</v>
      </c>
    </row>
    <row r="55" spans="1:10" hidden="1" x14ac:dyDescent="0.2">
      <c r="A55" s="5" t="s">
        <v>68</v>
      </c>
      <c r="B55" t="s">
        <v>26</v>
      </c>
      <c r="C55">
        <v>1</v>
      </c>
      <c r="D55" t="s">
        <v>96</v>
      </c>
      <c r="E55">
        <v>0.358649184418455</v>
      </c>
      <c r="F55">
        <v>0.28024984775561401</v>
      </c>
      <c r="G55">
        <v>1.2797480080389101</v>
      </c>
      <c r="H55">
        <v>-0.21452611141450501</v>
      </c>
      <c r="I55">
        <v>0.93182448025141495</v>
      </c>
      <c r="J55">
        <v>0.210777525028047</v>
      </c>
    </row>
    <row r="56" spans="1:10" hidden="1" x14ac:dyDescent="0.2">
      <c r="A56" s="5" t="s">
        <v>68</v>
      </c>
      <c r="B56" t="s">
        <v>9</v>
      </c>
      <c r="C56">
        <v>0</v>
      </c>
      <c r="D56" t="s">
        <v>111</v>
      </c>
      <c r="E56">
        <v>-7.9729279959775204E-2</v>
      </c>
      <c r="F56">
        <v>0.36503848832386399</v>
      </c>
      <c r="G56">
        <v>-0.21841335231763001</v>
      </c>
      <c r="H56">
        <v>-0.80777558829774199</v>
      </c>
      <c r="I56">
        <v>0.64831702837819205</v>
      </c>
      <c r="J56">
        <v>0.82774257558515396</v>
      </c>
    </row>
    <row r="57" spans="1:10" hidden="1" x14ac:dyDescent="0.2">
      <c r="A57" s="5" t="s">
        <v>68</v>
      </c>
      <c r="B57" t="s">
        <v>9</v>
      </c>
      <c r="C57">
        <v>0</v>
      </c>
      <c r="D57" t="s">
        <v>202</v>
      </c>
      <c r="E57">
        <v>-0.17824216319175801</v>
      </c>
      <c r="F57">
        <v>0.300593108215504</v>
      </c>
      <c r="G57">
        <v>-0.59296822954427597</v>
      </c>
      <c r="H57">
        <v>-0.77775621375941195</v>
      </c>
      <c r="I57">
        <v>0.42127188737589499</v>
      </c>
      <c r="J57">
        <v>0.55511337553918905</v>
      </c>
    </row>
    <row r="58" spans="1:10" hidden="1" x14ac:dyDescent="0.2">
      <c r="A58" s="5" t="s">
        <v>68</v>
      </c>
      <c r="B58" t="s">
        <v>9</v>
      </c>
      <c r="C58">
        <v>0</v>
      </c>
      <c r="D58" t="s">
        <v>96</v>
      </c>
      <c r="E58">
        <v>-6.2023571289539697E-2</v>
      </c>
      <c r="F58">
        <v>0.21785163633891699</v>
      </c>
      <c r="G58">
        <v>-0.28470555618433802</v>
      </c>
      <c r="H58">
        <v>-0.49651495966395698</v>
      </c>
      <c r="I58">
        <v>0.37246781708487697</v>
      </c>
      <c r="J58">
        <v>0.77671032826980901</v>
      </c>
    </row>
    <row r="59" spans="1:10" hidden="1" x14ac:dyDescent="0.2">
      <c r="A59" s="5" t="s">
        <v>68</v>
      </c>
      <c r="B59" t="s">
        <v>9</v>
      </c>
      <c r="C59">
        <v>1</v>
      </c>
      <c r="D59" t="s">
        <v>111</v>
      </c>
      <c r="E59">
        <v>-0.89213495478899996</v>
      </c>
      <c r="F59">
        <v>0.23273749194415</v>
      </c>
      <c r="G59">
        <v>-3.8332240643165698</v>
      </c>
      <c r="H59">
        <v>-1.3681365721487999</v>
      </c>
      <c r="I59">
        <v>-0.416133337429203</v>
      </c>
      <c r="J59">
        <v>6.2799824356908499E-4</v>
      </c>
    </row>
    <row r="60" spans="1:10" hidden="1" x14ac:dyDescent="0.2">
      <c r="A60" s="5" t="s">
        <v>68</v>
      </c>
      <c r="B60" t="s">
        <v>9</v>
      </c>
      <c r="C60">
        <v>1</v>
      </c>
      <c r="D60" t="s">
        <v>202</v>
      </c>
      <c r="E60">
        <v>3.45279781785712E-2</v>
      </c>
      <c r="F60">
        <v>0.20314353169209501</v>
      </c>
      <c r="G60">
        <v>0.16996838585491</v>
      </c>
      <c r="H60">
        <v>-0.38094719444562603</v>
      </c>
      <c r="I60">
        <v>0.45000315080276898</v>
      </c>
      <c r="J60">
        <v>0.86621519100460298</v>
      </c>
    </row>
    <row r="61" spans="1:10" hidden="1" x14ac:dyDescent="0.2">
      <c r="A61" s="5" t="s">
        <v>68</v>
      </c>
      <c r="B61" t="s">
        <v>9</v>
      </c>
      <c r="C61">
        <v>1</v>
      </c>
      <c r="D61" t="s">
        <v>96</v>
      </c>
      <c r="E61">
        <v>-0.19572135620863201</v>
      </c>
      <c r="F61">
        <v>0.16842757725568999</v>
      </c>
      <c r="G61">
        <v>-1.16205053470257</v>
      </c>
      <c r="H61">
        <v>-0.540194429764565</v>
      </c>
      <c r="I61">
        <v>0.1487517173473</v>
      </c>
      <c r="J61">
        <v>0.254689653846915</v>
      </c>
    </row>
    <row r="62" spans="1:10" hidden="1" x14ac:dyDescent="0.2">
      <c r="A62" s="38" t="s">
        <v>75</v>
      </c>
      <c r="B62" t="s">
        <v>18</v>
      </c>
      <c r="C62">
        <v>0</v>
      </c>
      <c r="D62" t="s">
        <v>201</v>
      </c>
      <c r="E62">
        <v>-4.5153819425286602E-2</v>
      </c>
      <c r="F62">
        <v>0.33566644313691602</v>
      </c>
      <c r="G62">
        <v>-0.134519909119627</v>
      </c>
      <c r="H62">
        <v>-0.71461943079378498</v>
      </c>
      <c r="I62">
        <v>0.62431179194321196</v>
      </c>
      <c r="J62">
        <v>0.89337750524927795</v>
      </c>
    </row>
    <row r="63" spans="1:10" hidden="1" x14ac:dyDescent="0.2">
      <c r="A63" s="38" t="s">
        <v>75</v>
      </c>
      <c r="B63" t="s">
        <v>18</v>
      </c>
      <c r="C63">
        <v>0</v>
      </c>
      <c r="D63" t="s">
        <v>123</v>
      </c>
      <c r="E63">
        <v>-0.245500717884057</v>
      </c>
      <c r="F63">
        <v>0.35203513207475501</v>
      </c>
      <c r="G63">
        <v>-0.69737561827188599</v>
      </c>
      <c r="H63">
        <v>-0.94761264994122096</v>
      </c>
      <c r="I63">
        <v>0.45661121417310602</v>
      </c>
      <c r="J63">
        <v>0.48787756521264503</v>
      </c>
    </row>
    <row r="64" spans="1:10" hidden="1" x14ac:dyDescent="0.2">
      <c r="A64" s="38" t="s">
        <v>75</v>
      </c>
      <c r="B64" t="s">
        <v>18</v>
      </c>
      <c r="C64">
        <v>0</v>
      </c>
      <c r="D64" t="s">
        <v>116</v>
      </c>
      <c r="E64">
        <v>-0.53102415916666601</v>
      </c>
      <c r="F64">
        <v>0.61835708521350996</v>
      </c>
      <c r="G64">
        <v>-0.85876619167921597</v>
      </c>
      <c r="H64">
        <v>-1.7642984782431499</v>
      </c>
      <c r="I64">
        <v>0.70225015990981599</v>
      </c>
      <c r="J64">
        <v>0.39340071633972001</v>
      </c>
    </row>
    <row r="65" spans="1:10" hidden="1" x14ac:dyDescent="0.2">
      <c r="A65" s="38" t="s">
        <v>75</v>
      </c>
      <c r="B65" t="s">
        <v>18</v>
      </c>
      <c r="C65">
        <v>1</v>
      </c>
      <c r="D65" t="s">
        <v>201</v>
      </c>
      <c r="E65">
        <v>-0.17897051111111201</v>
      </c>
      <c r="F65">
        <v>0.38231932431233301</v>
      </c>
      <c r="G65">
        <v>-0.468117878773253</v>
      </c>
      <c r="H65">
        <v>-0.96090132595484201</v>
      </c>
      <c r="I65">
        <v>0.602960303732617</v>
      </c>
      <c r="J65">
        <v>0.64319958183653103</v>
      </c>
    </row>
    <row r="66" spans="1:10" hidden="1" x14ac:dyDescent="0.2">
      <c r="A66" s="38" t="s">
        <v>75</v>
      </c>
      <c r="B66" t="s">
        <v>18</v>
      </c>
      <c r="C66">
        <v>1</v>
      </c>
      <c r="D66" t="s">
        <v>123</v>
      </c>
      <c r="E66">
        <v>-0.71486954242857204</v>
      </c>
      <c r="F66">
        <v>0.36070159541614899</v>
      </c>
      <c r="G66">
        <v>-1.98188627805711</v>
      </c>
      <c r="H66">
        <v>-1.45258713733824</v>
      </c>
      <c r="I66">
        <v>2.28480524810937E-2</v>
      </c>
      <c r="J66">
        <v>5.7040741787519403E-2</v>
      </c>
    </row>
    <row r="67" spans="1:10" hidden="1" x14ac:dyDescent="0.2">
      <c r="A67" s="38" t="s">
        <v>75</v>
      </c>
      <c r="B67" t="s">
        <v>18</v>
      </c>
      <c r="C67">
        <v>1</v>
      </c>
      <c r="D67" t="s">
        <v>116</v>
      </c>
      <c r="E67">
        <v>-1.0898149906666701</v>
      </c>
      <c r="F67">
        <v>0.41067683215915102</v>
      </c>
      <c r="G67">
        <v>-2.6537045806477999</v>
      </c>
      <c r="H67">
        <v>-1.9297434211357201</v>
      </c>
      <c r="I67">
        <v>-0.24988656019761499</v>
      </c>
      <c r="J67">
        <v>1.27849558983919E-2</v>
      </c>
    </row>
    <row r="68" spans="1:10" hidden="1" x14ac:dyDescent="0.2">
      <c r="A68" s="38" t="s">
        <v>75</v>
      </c>
      <c r="B68" t="s">
        <v>25</v>
      </c>
      <c r="C68">
        <v>0</v>
      </c>
      <c r="D68" t="s">
        <v>201</v>
      </c>
      <c r="E68">
        <v>-2.4530617932949299E-2</v>
      </c>
      <c r="F68">
        <v>0.33767800106781898</v>
      </c>
      <c r="G68">
        <v>-7.2644998653680598E-2</v>
      </c>
      <c r="H68">
        <v>-0.69800815509131797</v>
      </c>
      <c r="I68">
        <v>0.64894691922542003</v>
      </c>
      <c r="J68">
        <v>0.94229579138961805</v>
      </c>
    </row>
    <row r="69" spans="1:10" hidden="1" x14ac:dyDescent="0.2">
      <c r="A69" s="38" t="s">
        <v>75</v>
      </c>
      <c r="B69" t="s">
        <v>25</v>
      </c>
      <c r="C69">
        <v>0</v>
      </c>
      <c r="D69" t="s">
        <v>123</v>
      </c>
      <c r="E69">
        <v>-0.33825228636473398</v>
      </c>
      <c r="F69">
        <v>0.354144783117808</v>
      </c>
      <c r="G69">
        <v>-0.95512429517340403</v>
      </c>
      <c r="H69">
        <v>-1.04457178475505</v>
      </c>
      <c r="I69">
        <v>0.36806721202557902</v>
      </c>
      <c r="J69">
        <v>0.34280173550679</v>
      </c>
    </row>
    <row r="70" spans="1:10" hidden="1" x14ac:dyDescent="0.2">
      <c r="A70" s="38" t="s">
        <v>75</v>
      </c>
      <c r="B70" t="s">
        <v>25</v>
      </c>
      <c r="C70">
        <v>0</v>
      </c>
      <c r="D70" t="s">
        <v>116</v>
      </c>
      <c r="E70">
        <v>-0.77468684802777898</v>
      </c>
      <c r="F70">
        <v>0.62206273147134605</v>
      </c>
      <c r="G70">
        <v>-1.2453516483706299</v>
      </c>
      <c r="H70">
        <v>-2.0153518455239801</v>
      </c>
      <c r="I70">
        <v>0.46597814946842597</v>
      </c>
      <c r="J70">
        <v>0.21715517280239799</v>
      </c>
    </row>
    <row r="71" spans="1:10" hidden="1" x14ac:dyDescent="0.2">
      <c r="A71" s="38" t="s">
        <v>75</v>
      </c>
      <c r="B71" t="s">
        <v>25</v>
      </c>
      <c r="C71">
        <v>1</v>
      </c>
      <c r="D71" t="s">
        <v>201</v>
      </c>
      <c r="E71">
        <v>-0.47423812122222297</v>
      </c>
      <c r="F71">
        <v>0.539565566374411</v>
      </c>
      <c r="G71">
        <v>-0.87892584474737101</v>
      </c>
      <c r="H71">
        <v>-1.57777361144529</v>
      </c>
      <c r="I71">
        <v>0.62929736900084399</v>
      </c>
      <c r="J71">
        <v>0.38666633225421598</v>
      </c>
    </row>
    <row r="72" spans="1:10" hidden="1" x14ac:dyDescent="0.2">
      <c r="A72" s="38" t="s">
        <v>75</v>
      </c>
      <c r="B72" t="s">
        <v>25</v>
      </c>
      <c r="C72">
        <v>1</v>
      </c>
      <c r="D72" t="s">
        <v>123</v>
      </c>
      <c r="E72">
        <v>-0.76528452307142902</v>
      </c>
      <c r="F72">
        <v>0.50905656148281198</v>
      </c>
      <c r="G72">
        <v>-1.50333888407658</v>
      </c>
      <c r="H72">
        <v>-1.8064220921382299</v>
      </c>
      <c r="I72">
        <v>0.27585304599536697</v>
      </c>
      <c r="J72">
        <v>0.14356473476998399</v>
      </c>
    </row>
    <row r="73" spans="1:10" hidden="1" x14ac:dyDescent="0.2">
      <c r="A73" s="38" t="s">
        <v>75</v>
      </c>
      <c r="B73" t="s">
        <v>25</v>
      </c>
      <c r="C73">
        <v>1</v>
      </c>
      <c r="D73" t="s">
        <v>116</v>
      </c>
      <c r="E73">
        <v>-1.03271623333333</v>
      </c>
      <c r="F73">
        <v>0.57958639140033996</v>
      </c>
      <c r="G73">
        <v>-1.7818158753489499</v>
      </c>
      <c r="H73">
        <v>-2.21810350120204</v>
      </c>
      <c r="I73">
        <v>0.15267103453536801</v>
      </c>
      <c r="J73">
        <v>8.5254861869401496E-2</v>
      </c>
    </row>
    <row r="74" spans="1:10" hidden="1" x14ac:dyDescent="0.2">
      <c r="A74" s="38" t="s">
        <v>75</v>
      </c>
      <c r="B74" t="s">
        <v>14</v>
      </c>
      <c r="C74">
        <v>0</v>
      </c>
      <c r="D74" t="s">
        <v>201</v>
      </c>
      <c r="E74">
        <v>-0.14718758628735601</v>
      </c>
      <c r="F74">
        <v>0.32914642264225702</v>
      </c>
      <c r="G74">
        <v>-0.44717966279503302</v>
      </c>
      <c r="H74">
        <v>-0.80364942681179596</v>
      </c>
      <c r="I74">
        <v>0.50927425423708395</v>
      </c>
      <c r="J74">
        <v>0.65612598896054097</v>
      </c>
    </row>
    <row r="75" spans="1:10" hidden="1" x14ac:dyDescent="0.2">
      <c r="A75" s="38" t="s">
        <v>75</v>
      </c>
      <c r="B75" t="s">
        <v>14</v>
      </c>
      <c r="C75">
        <v>0</v>
      </c>
      <c r="D75" t="s">
        <v>123</v>
      </c>
      <c r="E75">
        <v>-0.12734551075362299</v>
      </c>
      <c r="F75">
        <v>0.34519716443486398</v>
      </c>
      <c r="G75">
        <v>-0.36890659563239803</v>
      </c>
      <c r="H75">
        <v>-0.81581954638069598</v>
      </c>
      <c r="I75">
        <v>0.561128524873451</v>
      </c>
      <c r="J75">
        <v>0.71331082457294503</v>
      </c>
    </row>
    <row r="76" spans="1:10" hidden="1" x14ac:dyDescent="0.2">
      <c r="A76" s="38" t="s">
        <v>75</v>
      </c>
      <c r="B76" t="s">
        <v>14</v>
      </c>
      <c r="C76">
        <v>0</v>
      </c>
      <c r="D76" t="s">
        <v>116</v>
      </c>
      <c r="E76">
        <v>-0.61889437216666598</v>
      </c>
      <c r="F76">
        <v>0.60634605178719403</v>
      </c>
      <c r="G76">
        <v>-1.0206949815909401</v>
      </c>
      <c r="H76">
        <v>-1.8282134404269801</v>
      </c>
      <c r="I76">
        <v>0.59042469609364701</v>
      </c>
      <c r="J76">
        <v>0.31091367987371299</v>
      </c>
    </row>
    <row r="77" spans="1:10" hidden="1" x14ac:dyDescent="0.2">
      <c r="A77" s="38" t="s">
        <v>75</v>
      </c>
      <c r="B77" t="s">
        <v>14</v>
      </c>
      <c r="C77">
        <v>1</v>
      </c>
      <c r="D77" t="s">
        <v>201</v>
      </c>
      <c r="E77">
        <v>-2.1839987861111999E-2</v>
      </c>
      <c r="F77">
        <v>0.41827932417005598</v>
      </c>
      <c r="G77">
        <v>-5.2213883400635701E-2</v>
      </c>
      <c r="H77">
        <v>-0.87731726034494495</v>
      </c>
      <c r="I77">
        <v>0.83363728462272102</v>
      </c>
      <c r="J77">
        <v>0.95871628383771701</v>
      </c>
    </row>
    <row r="78" spans="1:10" hidden="1" x14ac:dyDescent="0.2">
      <c r="A78" s="38" t="s">
        <v>75</v>
      </c>
      <c r="B78" t="s">
        <v>14</v>
      </c>
      <c r="C78">
        <v>1</v>
      </c>
      <c r="D78" t="s">
        <v>123</v>
      </c>
      <c r="E78">
        <v>-0.48197199424999998</v>
      </c>
      <c r="F78">
        <v>0.39462828573758502</v>
      </c>
      <c r="G78">
        <v>-1.2213315965153499</v>
      </c>
      <c r="H78">
        <v>-1.28907746186452</v>
      </c>
      <c r="I78">
        <v>0.32513347336452397</v>
      </c>
      <c r="J78">
        <v>0.231796885287154</v>
      </c>
    </row>
    <row r="79" spans="1:10" hidden="1" x14ac:dyDescent="0.2">
      <c r="A79" s="38" t="s">
        <v>75</v>
      </c>
      <c r="B79" t="s">
        <v>14</v>
      </c>
      <c r="C79">
        <v>1</v>
      </c>
      <c r="D79" t="s">
        <v>116</v>
      </c>
      <c r="E79">
        <v>-0.98324618758333304</v>
      </c>
      <c r="F79">
        <v>0.44930406831200798</v>
      </c>
      <c r="G79">
        <v>-2.1883758837913398</v>
      </c>
      <c r="H79">
        <v>-1.9021761864258699</v>
      </c>
      <c r="I79">
        <v>-6.4316188740797406E-2</v>
      </c>
      <c r="J79">
        <v>3.6845086514177998E-2</v>
      </c>
    </row>
    <row r="80" spans="1:10" hidden="1" x14ac:dyDescent="0.2">
      <c r="A80" s="38" t="s">
        <v>75</v>
      </c>
      <c r="B80" t="s">
        <v>7</v>
      </c>
      <c r="C80">
        <v>0</v>
      </c>
      <c r="D80" t="s">
        <v>201</v>
      </c>
      <c r="E80">
        <v>-0.16004748575670399</v>
      </c>
      <c r="F80">
        <v>0.26596737142706001</v>
      </c>
      <c r="G80">
        <v>-0.60175609097447502</v>
      </c>
      <c r="H80">
        <v>-0.690502681851063</v>
      </c>
      <c r="I80">
        <v>0.37040771033765502</v>
      </c>
      <c r="J80">
        <v>0.54928057796108198</v>
      </c>
    </row>
    <row r="81" spans="1:10" hidden="1" x14ac:dyDescent="0.2">
      <c r="A81" s="38" t="s">
        <v>75</v>
      </c>
      <c r="B81" t="s">
        <v>7</v>
      </c>
      <c r="C81">
        <v>0</v>
      </c>
      <c r="D81" t="s">
        <v>123</v>
      </c>
      <c r="E81">
        <v>-0.452193393852656</v>
      </c>
      <c r="F81">
        <v>0.27893720281627699</v>
      </c>
      <c r="G81">
        <v>-1.62112973560753</v>
      </c>
      <c r="H81">
        <v>-1.00851610300309</v>
      </c>
      <c r="I81">
        <v>0.104129315297773</v>
      </c>
      <c r="J81">
        <v>0.109486074586189</v>
      </c>
    </row>
    <row r="82" spans="1:10" hidden="1" x14ac:dyDescent="0.2">
      <c r="A82" s="38" t="s">
        <v>75</v>
      </c>
      <c r="B82" t="s">
        <v>7</v>
      </c>
      <c r="C82">
        <v>0</v>
      </c>
      <c r="D82" t="s">
        <v>116</v>
      </c>
      <c r="E82">
        <v>-0.86747104447222201</v>
      </c>
      <c r="F82">
        <v>0.48995904094724202</v>
      </c>
      <c r="G82">
        <v>-1.7704970660305299</v>
      </c>
      <c r="H82">
        <v>-1.84466353898522</v>
      </c>
      <c r="I82">
        <v>0.10972145004077601</v>
      </c>
      <c r="J82">
        <v>8.0998285273590501E-2</v>
      </c>
    </row>
    <row r="83" spans="1:10" hidden="1" x14ac:dyDescent="0.2">
      <c r="A83" s="38" t="s">
        <v>75</v>
      </c>
      <c r="B83" t="s">
        <v>7</v>
      </c>
      <c r="C83">
        <v>1</v>
      </c>
      <c r="D83" t="s">
        <v>201</v>
      </c>
      <c r="E83">
        <v>-0.44475313933333399</v>
      </c>
      <c r="F83">
        <v>0.55606498509022395</v>
      </c>
      <c r="G83">
        <v>-0.79982223527556096</v>
      </c>
      <c r="H83">
        <v>-1.58203372979194</v>
      </c>
      <c r="I83">
        <v>0.69252745112527203</v>
      </c>
      <c r="J83">
        <v>0.43031702950711298</v>
      </c>
    </row>
    <row r="84" spans="1:10" hidden="1" x14ac:dyDescent="0.2">
      <c r="A84" s="38" t="s">
        <v>75</v>
      </c>
      <c r="B84" t="s">
        <v>7</v>
      </c>
      <c r="C84">
        <v>1</v>
      </c>
      <c r="D84" t="s">
        <v>123</v>
      </c>
      <c r="E84">
        <v>-0.46092718707142899</v>
      </c>
      <c r="F84">
        <v>0.524623042891873</v>
      </c>
      <c r="G84">
        <v>-0.87858738444019902</v>
      </c>
      <c r="H84">
        <v>-1.5339017853397401</v>
      </c>
      <c r="I84">
        <v>0.61204741119688699</v>
      </c>
      <c r="J84">
        <v>0.38684684496767402</v>
      </c>
    </row>
    <row r="85" spans="1:10" hidden="1" x14ac:dyDescent="0.2">
      <c r="A85" s="38" t="s">
        <v>75</v>
      </c>
      <c r="B85" t="s">
        <v>7</v>
      </c>
      <c r="C85">
        <v>1</v>
      </c>
      <c r="D85" t="s">
        <v>116</v>
      </c>
      <c r="E85">
        <v>-1.02554853216667</v>
      </c>
      <c r="F85">
        <v>0.59730961013343697</v>
      </c>
      <c r="G85">
        <v>-1.71694631187595</v>
      </c>
      <c r="H85">
        <v>-2.2471838523423</v>
      </c>
      <c r="I85">
        <v>0.19608678800896701</v>
      </c>
      <c r="J85">
        <v>9.66529890998825E-2</v>
      </c>
    </row>
    <row r="86" spans="1:10" hidden="1" x14ac:dyDescent="0.2">
      <c r="A86" s="38" t="s">
        <v>75</v>
      </c>
      <c r="B86" t="s">
        <v>21</v>
      </c>
      <c r="C86">
        <v>0</v>
      </c>
      <c r="D86" t="s">
        <v>201</v>
      </c>
      <c r="E86">
        <v>0.23801623380842901</v>
      </c>
      <c r="F86">
        <v>0.36275449151068001</v>
      </c>
      <c r="G86">
        <v>0.65613586979231597</v>
      </c>
      <c r="H86">
        <v>-0.48547478652215698</v>
      </c>
      <c r="I86">
        <v>0.96150725413901506</v>
      </c>
      <c r="J86">
        <v>0.51388775424567101</v>
      </c>
    </row>
    <row r="87" spans="1:10" hidden="1" x14ac:dyDescent="0.2">
      <c r="A87" s="38" t="s">
        <v>75</v>
      </c>
      <c r="B87" t="s">
        <v>21</v>
      </c>
      <c r="C87">
        <v>0</v>
      </c>
      <c r="D87" t="s">
        <v>123</v>
      </c>
      <c r="E87">
        <v>-0.33087902464734298</v>
      </c>
      <c r="F87">
        <v>0.38044412225497298</v>
      </c>
      <c r="G87">
        <v>-0.8697177989928</v>
      </c>
      <c r="H87">
        <v>-1.0896509010278801</v>
      </c>
      <c r="I87">
        <v>0.42789285173319003</v>
      </c>
      <c r="J87">
        <v>0.387427193517001</v>
      </c>
    </row>
    <row r="88" spans="1:10" hidden="1" x14ac:dyDescent="0.2">
      <c r="A88" s="38" t="s">
        <v>75</v>
      </c>
      <c r="B88" t="s">
        <v>21</v>
      </c>
      <c r="C88">
        <v>0</v>
      </c>
      <c r="D88" t="s">
        <v>116</v>
      </c>
      <c r="E88">
        <v>-0.39341119602777902</v>
      </c>
      <c r="F88">
        <v>0.66825807168087303</v>
      </c>
      <c r="G88">
        <v>-0.58871147644835697</v>
      </c>
      <c r="H88">
        <v>-1.72620989442876</v>
      </c>
      <c r="I88">
        <v>0.93938750237320401</v>
      </c>
      <c r="J88">
        <v>0.55794979966795699</v>
      </c>
    </row>
    <row r="89" spans="1:10" hidden="1" x14ac:dyDescent="0.2">
      <c r="A89" s="38" t="s">
        <v>75</v>
      </c>
      <c r="B89" t="s">
        <v>21</v>
      </c>
      <c r="C89">
        <v>1</v>
      </c>
      <c r="D89" t="s">
        <v>201</v>
      </c>
      <c r="E89">
        <v>0.67451349522222304</v>
      </c>
      <c r="F89">
        <v>0.60736740533626798</v>
      </c>
      <c r="G89">
        <v>1.1105526725603201</v>
      </c>
      <c r="H89">
        <v>-0.56769232583674201</v>
      </c>
      <c r="I89">
        <v>1.91671931628119</v>
      </c>
      <c r="J89">
        <v>0.27588449597460801</v>
      </c>
    </row>
    <row r="90" spans="1:10" hidden="1" x14ac:dyDescent="0.2">
      <c r="A90" s="38" t="s">
        <v>75</v>
      </c>
      <c r="B90" t="s">
        <v>21</v>
      </c>
      <c r="C90">
        <v>1</v>
      </c>
      <c r="D90" t="s">
        <v>123</v>
      </c>
      <c r="E90">
        <v>0.55960048542857199</v>
      </c>
      <c r="F90">
        <v>0.57302463719983099</v>
      </c>
      <c r="G90">
        <v>0.97657316823783002</v>
      </c>
      <c r="H90">
        <v>-0.61236648824485995</v>
      </c>
      <c r="I90">
        <v>1.7315674591020001</v>
      </c>
      <c r="J90">
        <v>0.336857110199906</v>
      </c>
    </row>
    <row r="91" spans="1:10" hidden="1" x14ac:dyDescent="0.2">
      <c r="A91" s="38" t="s">
        <v>75</v>
      </c>
      <c r="B91" t="s">
        <v>21</v>
      </c>
      <c r="C91">
        <v>1</v>
      </c>
      <c r="D91" t="s">
        <v>116</v>
      </c>
      <c r="E91">
        <v>0.400947126166667</v>
      </c>
      <c r="F91">
        <v>0.65241724945205803</v>
      </c>
      <c r="G91">
        <v>0.61455629277645196</v>
      </c>
      <c r="H91">
        <v>-0.93339597145136999</v>
      </c>
      <c r="I91">
        <v>1.7352902237847001</v>
      </c>
      <c r="J91">
        <v>0.54363984184705905</v>
      </c>
    </row>
    <row r="92" spans="1:10" hidden="1" x14ac:dyDescent="0.2">
      <c r="A92" s="38" t="s">
        <v>75</v>
      </c>
      <c r="B92" t="s">
        <v>11</v>
      </c>
      <c r="C92">
        <v>0</v>
      </c>
      <c r="D92" t="s">
        <v>201</v>
      </c>
      <c r="E92">
        <v>-0.402612309013408</v>
      </c>
      <c r="F92">
        <v>0.335034383749578</v>
      </c>
      <c r="G92">
        <v>-1.20170444748841</v>
      </c>
      <c r="H92">
        <v>-1.0708173176829601</v>
      </c>
      <c r="I92">
        <v>0.26559269965614002</v>
      </c>
      <c r="J92">
        <v>0.233527932265187</v>
      </c>
    </row>
    <row r="93" spans="1:10" hidden="1" x14ac:dyDescent="0.2">
      <c r="A93" s="38" t="s">
        <v>75</v>
      </c>
      <c r="B93" t="s">
        <v>11</v>
      </c>
      <c r="C93">
        <v>0</v>
      </c>
      <c r="D93" t="s">
        <v>123</v>
      </c>
      <c r="E93">
        <v>-0.56326625920531304</v>
      </c>
      <c r="F93">
        <v>0.35137225047175302</v>
      </c>
      <c r="G93">
        <v>-1.6030470774202299</v>
      </c>
      <c r="H93">
        <v>-1.2640561155927399</v>
      </c>
      <c r="I93">
        <v>0.13752359718211199</v>
      </c>
      <c r="J93">
        <v>0.11342737670575501</v>
      </c>
    </row>
    <row r="94" spans="1:10" hidden="1" x14ac:dyDescent="0.2">
      <c r="A94" s="38" t="s">
        <v>75</v>
      </c>
      <c r="B94" t="s">
        <v>11</v>
      </c>
      <c r="C94">
        <v>0</v>
      </c>
      <c r="D94" t="s">
        <v>116</v>
      </c>
      <c r="E94">
        <v>-0.77735987494444403</v>
      </c>
      <c r="F94">
        <v>0.61719271978935997</v>
      </c>
      <c r="G94">
        <v>-1.2595091452306</v>
      </c>
      <c r="H94">
        <v>-2.00831194040734</v>
      </c>
      <c r="I94">
        <v>0.45359219051844901</v>
      </c>
      <c r="J94">
        <v>0.21202995304218</v>
      </c>
    </row>
    <row r="95" spans="1:10" hidden="1" x14ac:dyDescent="0.2">
      <c r="A95" s="38" t="s">
        <v>75</v>
      </c>
      <c r="B95" t="s">
        <v>11</v>
      </c>
      <c r="C95">
        <v>1</v>
      </c>
      <c r="D95" t="s">
        <v>201</v>
      </c>
      <c r="E95">
        <v>-0.84492535841666805</v>
      </c>
      <c r="F95">
        <v>0.44554942336235398</v>
      </c>
      <c r="G95">
        <v>-1.8963673031835799</v>
      </c>
      <c r="H95">
        <v>-1.7561762461124899</v>
      </c>
      <c r="I95">
        <v>6.6325529279152806E-2</v>
      </c>
      <c r="J95">
        <v>6.7913817638470597E-2</v>
      </c>
    </row>
    <row r="96" spans="1:10" hidden="1" x14ac:dyDescent="0.2">
      <c r="A96" s="38" t="s">
        <v>75</v>
      </c>
      <c r="B96" t="s">
        <v>11</v>
      </c>
      <c r="C96">
        <v>1</v>
      </c>
      <c r="D96" t="s">
        <v>123</v>
      </c>
      <c r="E96">
        <v>-0.99035092703571503</v>
      </c>
      <c r="F96">
        <v>0.42035643406885498</v>
      </c>
      <c r="G96">
        <v>-2.3559789901383899</v>
      </c>
      <c r="H96">
        <v>-1.8500763662545401</v>
      </c>
      <c r="I96">
        <v>-0.13062548781689001</v>
      </c>
      <c r="J96">
        <v>2.5446320782049201E-2</v>
      </c>
    </row>
    <row r="97" spans="1:10" hidden="1" x14ac:dyDescent="0.2">
      <c r="A97" s="38" t="s">
        <v>75</v>
      </c>
      <c r="B97" t="s">
        <v>11</v>
      </c>
      <c r="C97">
        <v>1</v>
      </c>
      <c r="D97" t="s">
        <v>116</v>
      </c>
      <c r="E97">
        <v>-1.2178924959166699</v>
      </c>
      <c r="F97">
        <v>0.47859685378421102</v>
      </c>
      <c r="G97">
        <v>-2.54471479761501</v>
      </c>
      <c r="H97">
        <v>-2.19673296790759</v>
      </c>
      <c r="I97">
        <v>-0.23905202392574701</v>
      </c>
      <c r="J97">
        <v>1.6519588678073401E-2</v>
      </c>
    </row>
    <row r="98" spans="1:10" hidden="1" x14ac:dyDescent="0.2">
      <c r="A98" s="38" t="s">
        <v>75</v>
      </c>
      <c r="B98" t="s">
        <v>13</v>
      </c>
      <c r="C98">
        <v>0</v>
      </c>
      <c r="D98" t="s">
        <v>201</v>
      </c>
      <c r="E98">
        <v>-0.115647148421456</v>
      </c>
      <c r="F98">
        <v>0.32929811802275499</v>
      </c>
      <c r="G98">
        <v>-0.35119286170188302</v>
      </c>
      <c r="H98">
        <v>-0.77241153584244604</v>
      </c>
      <c r="I98">
        <v>0.54111723899953501</v>
      </c>
      <c r="J98">
        <v>0.72649850490103396</v>
      </c>
    </row>
    <row r="99" spans="1:10" hidden="1" x14ac:dyDescent="0.2">
      <c r="A99" s="38" t="s">
        <v>75</v>
      </c>
      <c r="B99" t="s">
        <v>13</v>
      </c>
      <c r="C99">
        <v>0</v>
      </c>
      <c r="D99" t="s">
        <v>123</v>
      </c>
      <c r="E99">
        <v>-0.26035109141545898</v>
      </c>
      <c r="F99">
        <v>0.345356257202106</v>
      </c>
      <c r="G99">
        <v>-0.75386238409196904</v>
      </c>
      <c r="H99">
        <v>-0.94914242756173395</v>
      </c>
      <c r="I99">
        <v>0.42844024473081599</v>
      </c>
      <c r="J99">
        <v>0.45346025292150699</v>
      </c>
    </row>
    <row r="100" spans="1:10" hidden="1" x14ac:dyDescent="0.2">
      <c r="A100" s="38" t="s">
        <v>75</v>
      </c>
      <c r="B100" t="s">
        <v>13</v>
      </c>
      <c r="C100">
        <v>0</v>
      </c>
      <c r="D100" t="s">
        <v>116</v>
      </c>
      <c r="E100">
        <v>0.103440738388887</v>
      </c>
      <c r="F100">
        <v>0.60662550156611394</v>
      </c>
      <c r="G100">
        <v>0.170518282073266</v>
      </c>
      <c r="H100">
        <v>-1.1064356748813799</v>
      </c>
      <c r="I100">
        <v>1.31331715165915</v>
      </c>
      <c r="J100">
        <v>0.86509446254353195</v>
      </c>
    </row>
    <row r="101" spans="1:10" hidden="1" x14ac:dyDescent="0.2">
      <c r="A101" s="38" t="s">
        <v>75</v>
      </c>
      <c r="B101" t="s">
        <v>13</v>
      </c>
      <c r="C101">
        <v>1</v>
      </c>
      <c r="D101" t="s">
        <v>201</v>
      </c>
      <c r="E101">
        <v>0.36969737894444399</v>
      </c>
      <c r="F101">
        <v>0.47404000304945698</v>
      </c>
      <c r="G101">
        <v>0.77988645803352796</v>
      </c>
      <c r="H101">
        <v>-0.59982328684898301</v>
      </c>
      <c r="I101">
        <v>1.3392180447378701</v>
      </c>
      <c r="J101">
        <v>0.441776664279179</v>
      </c>
    </row>
    <row r="102" spans="1:10" hidden="1" x14ac:dyDescent="0.2">
      <c r="A102" s="38" t="s">
        <v>75</v>
      </c>
      <c r="B102" t="s">
        <v>13</v>
      </c>
      <c r="C102">
        <v>1</v>
      </c>
      <c r="D102" t="s">
        <v>123</v>
      </c>
      <c r="E102">
        <v>-0.44051963249999998</v>
      </c>
      <c r="F102">
        <v>0.44723605247672199</v>
      </c>
      <c r="G102">
        <v>-0.98498238248118197</v>
      </c>
      <c r="H102">
        <v>-1.3552200640558101</v>
      </c>
      <c r="I102">
        <v>0.47418079905580901</v>
      </c>
      <c r="J102">
        <v>0.33277977321142999</v>
      </c>
    </row>
    <row r="103" spans="1:10" hidden="1" x14ac:dyDescent="0.2">
      <c r="A103" s="38" t="s">
        <v>75</v>
      </c>
      <c r="B103" t="s">
        <v>13</v>
      </c>
      <c r="C103">
        <v>1</v>
      </c>
      <c r="D103" t="s">
        <v>116</v>
      </c>
      <c r="E103">
        <v>-0.84094667050000005</v>
      </c>
      <c r="F103">
        <v>0.50920064561012102</v>
      </c>
      <c r="G103">
        <v>-1.6515035433476</v>
      </c>
      <c r="H103">
        <v>-1.8823789246949301</v>
      </c>
      <c r="I103">
        <v>0.20048558369493</v>
      </c>
      <c r="J103">
        <v>0.109425040681739</v>
      </c>
    </row>
    <row r="104" spans="1:10" hidden="1" x14ac:dyDescent="0.2">
      <c r="A104" s="38" t="s">
        <v>75</v>
      </c>
      <c r="B104" t="s">
        <v>17</v>
      </c>
      <c r="C104">
        <v>0</v>
      </c>
      <c r="D104" t="s">
        <v>201</v>
      </c>
      <c r="E104">
        <v>0.35276433231226101</v>
      </c>
      <c r="F104">
        <v>0.39660624154125701</v>
      </c>
      <c r="G104">
        <v>0.88945733920217196</v>
      </c>
      <c r="H104">
        <v>-0.43824187457771002</v>
      </c>
      <c r="I104">
        <v>1.1437705392022299</v>
      </c>
      <c r="J104">
        <v>0.37680392379716798</v>
      </c>
    </row>
    <row r="105" spans="1:10" hidden="1" x14ac:dyDescent="0.2">
      <c r="A105" s="38" t="s">
        <v>75</v>
      </c>
      <c r="B105" t="s">
        <v>17</v>
      </c>
      <c r="C105">
        <v>0</v>
      </c>
      <c r="D105" t="s">
        <v>123</v>
      </c>
      <c r="E105">
        <v>-0.24892031259178701</v>
      </c>
      <c r="F105">
        <v>0.41594664428728401</v>
      </c>
      <c r="G105">
        <v>-0.59844289167978904</v>
      </c>
      <c r="H105">
        <v>-1.0784997364750399</v>
      </c>
      <c r="I105">
        <v>0.58065911129146097</v>
      </c>
      <c r="J105">
        <v>0.55147602902752602</v>
      </c>
    </row>
    <row r="106" spans="1:10" hidden="1" x14ac:dyDescent="0.2">
      <c r="A106" s="38" t="s">
        <v>75</v>
      </c>
      <c r="B106" t="s">
        <v>17</v>
      </c>
      <c r="C106">
        <v>0</v>
      </c>
      <c r="D106" t="s">
        <v>116</v>
      </c>
      <c r="E106">
        <v>-0.43970312847222098</v>
      </c>
      <c r="F106">
        <v>0.73061899546778197</v>
      </c>
      <c r="G106">
        <v>-0.60182274372800704</v>
      </c>
      <c r="H106">
        <v>-1.8968767675981499</v>
      </c>
      <c r="I106">
        <v>1.0174705106537101</v>
      </c>
      <c r="J106">
        <v>0.54923645655244901</v>
      </c>
    </row>
    <row r="107" spans="1:10" hidden="1" x14ac:dyDescent="0.2">
      <c r="A107" s="38" t="s">
        <v>75</v>
      </c>
      <c r="B107" t="s">
        <v>17</v>
      </c>
      <c r="C107">
        <v>1</v>
      </c>
      <c r="D107" t="s">
        <v>201</v>
      </c>
      <c r="E107">
        <v>0.57645472200000103</v>
      </c>
      <c r="F107">
        <v>0.41931388834010203</v>
      </c>
      <c r="G107">
        <v>1.37475704485238</v>
      </c>
      <c r="H107">
        <v>-0.28113847179109802</v>
      </c>
      <c r="I107">
        <v>1.4340479157910999</v>
      </c>
      <c r="J107">
        <v>0.17973688796013601</v>
      </c>
    </row>
    <row r="108" spans="1:10" hidden="1" x14ac:dyDescent="0.2">
      <c r="A108" s="38" t="s">
        <v>75</v>
      </c>
      <c r="B108" t="s">
        <v>17</v>
      </c>
      <c r="C108">
        <v>1</v>
      </c>
      <c r="D108" t="s">
        <v>123</v>
      </c>
      <c r="E108">
        <v>0.40090832521428599</v>
      </c>
      <c r="F108">
        <v>0.39560435187645199</v>
      </c>
      <c r="G108">
        <v>1.01340726741927</v>
      </c>
      <c r="H108">
        <v>-0.40819342180013102</v>
      </c>
      <c r="I108">
        <v>1.2100100722286999</v>
      </c>
      <c r="J108">
        <v>0.31924667450959399</v>
      </c>
    </row>
    <row r="109" spans="1:10" hidden="1" x14ac:dyDescent="0.2">
      <c r="A109" s="38" t="s">
        <v>75</v>
      </c>
      <c r="B109" t="s">
        <v>17</v>
      </c>
      <c r="C109">
        <v>1</v>
      </c>
      <c r="D109" t="s">
        <v>116</v>
      </c>
      <c r="E109">
        <v>0.3042815525</v>
      </c>
      <c r="F109">
        <v>0.45041536849748498</v>
      </c>
      <c r="G109">
        <v>0.67555766028818198</v>
      </c>
      <c r="H109">
        <v>-0.61692131042317999</v>
      </c>
      <c r="I109">
        <v>1.2254844154231801</v>
      </c>
      <c r="J109">
        <v>0.50467321901375395</v>
      </c>
    </row>
    <row r="110" spans="1:10" hidden="1" x14ac:dyDescent="0.2">
      <c r="A110" s="38" t="s">
        <v>75</v>
      </c>
      <c r="B110" t="s">
        <v>26</v>
      </c>
      <c r="C110">
        <v>0</v>
      </c>
      <c r="D110" t="s">
        <v>201</v>
      </c>
      <c r="E110">
        <v>0.612061455287356</v>
      </c>
      <c r="F110">
        <v>0.39186588124909499</v>
      </c>
      <c r="G110">
        <v>1.5619156567965899</v>
      </c>
      <c r="H110">
        <v>-0.16949040111276001</v>
      </c>
      <c r="I110">
        <v>1.39361331168747</v>
      </c>
      <c r="J110">
        <v>0.122817826305616</v>
      </c>
    </row>
    <row r="111" spans="1:10" hidden="1" x14ac:dyDescent="0.2">
      <c r="A111" s="38" t="s">
        <v>75</v>
      </c>
      <c r="B111" t="s">
        <v>26</v>
      </c>
      <c r="C111">
        <v>0</v>
      </c>
      <c r="D111" t="s">
        <v>123</v>
      </c>
      <c r="E111">
        <v>-3.6430272855072901E-2</v>
      </c>
      <c r="F111">
        <v>0.41097512152814802</v>
      </c>
      <c r="G111">
        <v>-8.8643499196770004E-2</v>
      </c>
      <c r="H111">
        <v>-0.85609430724548596</v>
      </c>
      <c r="I111">
        <v>0.78323376153533997</v>
      </c>
      <c r="J111">
        <v>0.92961835752865196</v>
      </c>
    </row>
    <row r="112" spans="1:10" hidden="1" x14ac:dyDescent="0.2">
      <c r="A112" s="38" t="s">
        <v>75</v>
      </c>
      <c r="B112" t="s">
        <v>26</v>
      </c>
      <c r="C112">
        <v>0</v>
      </c>
      <c r="D112" t="s">
        <v>116</v>
      </c>
      <c r="E112">
        <v>7.4530626666667002E-2</v>
      </c>
      <c r="F112">
        <v>0.72188641157965205</v>
      </c>
      <c r="G112">
        <v>0.103244257643771</v>
      </c>
      <c r="H112">
        <v>-1.36522642307112</v>
      </c>
      <c r="I112">
        <v>1.5142876764044499</v>
      </c>
      <c r="J112">
        <v>0.918064332823192</v>
      </c>
    </row>
    <row r="113" spans="1:10" hidden="1" x14ac:dyDescent="0.2">
      <c r="A113" s="38" t="s">
        <v>75</v>
      </c>
      <c r="B113" t="s">
        <v>26</v>
      </c>
      <c r="C113">
        <v>1</v>
      </c>
      <c r="D113" t="s">
        <v>201</v>
      </c>
      <c r="E113">
        <v>0.690394010027778</v>
      </c>
      <c r="F113">
        <v>0.524804318875016</v>
      </c>
      <c r="G113">
        <v>1.3155265404593599</v>
      </c>
      <c r="H113">
        <v>-0.38295133925466801</v>
      </c>
      <c r="I113">
        <v>1.76373935931022</v>
      </c>
      <c r="J113">
        <v>0.198639274990035</v>
      </c>
    </row>
    <row r="114" spans="1:10" hidden="1" x14ac:dyDescent="0.2">
      <c r="A114" s="38" t="s">
        <v>75</v>
      </c>
      <c r="B114" t="s">
        <v>26</v>
      </c>
      <c r="C114">
        <v>1</v>
      </c>
      <c r="D114" t="s">
        <v>123</v>
      </c>
      <c r="E114">
        <v>0.22993478382142901</v>
      </c>
      <c r="F114">
        <v>0.49512996875056797</v>
      </c>
      <c r="G114">
        <v>0.46439278236713499</v>
      </c>
      <c r="H114">
        <v>-0.78271970497547305</v>
      </c>
      <c r="I114">
        <v>1.2425892726183301</v>
      </c>
      <c r="J114">
        <v>0.64583398360552802</v>
      </c>
    </row>
    <row r="115" spans="1:10" hidden="1" x14ac:dyDescent="0.2">
      <c r="A115" s="38" t="s">
        <v>75</v>
      </c>
      <c r="B115" t="s">
        <v>26</v>
      </c>
      <c r="C115">
        <v>1</v>
      </c>
      <c r="D115" t="s">
        <v>116</v>
      </c>
      <c r="E115">
        <v>0.22255023425000001</v>
      </c>
      <c r="F115">
        <v>0.56373026805979798</v>
      </c>
      <c r="G115">
        <v>0.39478141738948203</v>
      </c>
      <c r="H115">
        <v>-0.93040762015331402</v>
      </c>
      <c r="I115">
        <v>1.37550808865331</v>
      </c>
      <c r="J115">
        <v>0.69589287063930505</v>
      </c>
    </row>
    <row r="116" spans="1:10" hidden="1" x14ac:dyDescent="0.2">
      <c r="A116" s="38" t="s">
        <v>75</v>
      </c>
      <c r="B116" t="s">
        <v>9</v>
      </c>
      <c r="C116">
        <v>0</v>
      </c>
      <c r="D116" t="s">
        <v>201</v>
      </c>
      <c r="E116">
        <v>8.7110576590038305E-2</v>
      </c>
      <c r="F116">
        <v>0.29129338556329398</v>
      </c>
      <c r="G116">
        <v>0.29904756134982802</v>
      </c>
      <c r="H116">
        <v>-0.493855761990869</v>
      </c>
      <c r="I116">
        <v>0.66807691517094503</v>
      </c>
      <c r="J116">
        <v>0.76578980512093697</v>
      </c>
    </row>
    <row r="117" spans="1:10" hidden="1" x14ac:dyDescent="0.2">
      <c r="A117" s="38" t="s">
        <v>75</v>
      </c>
      <c r="B117" t="s">
        <v>9</v>
      </c>
      <c r="C117">
        <v>0</v>
      </c>
      <c r="D117" t="s">
        <v>123</v>
      </c>
      <c r="E117">
        <v>0.13466791159903399</v>
      </c>
      <c r="F117">
        <v>0.30549823360641698</v>
      </c>
      <c r="G117">
        <v>0.44081404337195101</v>
      </c>
      <c r="H117">
        <v>-0.47462910308614897</v>
      </c>
      <c r="I117">
        <v>0.74396492628421595</v>
      </c>
      <c r="J117">
        <v>0.66070605464644505</v>
      </c>
    </row>
    <row r="118" spans="1:10" hidden="1" x14ac:dyDescent="0.2">
      <c r="A118" s="38" t="s">
        <v>75</v>
      </c>
      <c r="B118" t="s">
        <v>9</v>
      </c>
      <c r="C118">
        <v>0</v>
      </c>
      <c r="D118" t="s">
        <v>116</v>
      </c>
      <c r="E118">
        <v>-0.13470583819444501</v>
      </c>
      <c r="F118">
        <v>0.53661404802809698</v>
      </c>
      <c r="G118">
        <v>-0.251029280149206</v>
      </c>
      <c r="H118">
        <v>-1.2049488102794501</v>
      </c>
      <c r="I118">
        <v>0.93553713389055804</v>
      </c>
      <c r="J118">
        <v>0.80252689207841998</v>
      </c>
    </row>
    <row r="119" spans="1:10" hidden="1" x14ac:dyDescent="0.2">
      <c r="A119" s="38" t="s">
        <v>75</v>
      </c>
      <c r="B119" t="s">
        <v>9</v>
      </c>
      <c r="C119">
        <v>1</v>
      </c>
      <c r="D119" t="s">
        <v>201</v>
      </c>
      <c r="E119">
        <v>-0.60856136183333498</v>
      </c>
      <c r="F119">
        <v>0.315402561925818</v>
      </c>
      <c r="G119">
        <v>-1.92947501160903</v>
      </c>
      <c r="H119">
        <v>-1.25363203068861</v>
      </c>
      <c r="I119">
        <v>3.6509307021944701E-2</v>
      </c>
      <c r="J119">
        <v>6.3507797202857597E-2</v>
      </c>
    </row>
    <row r="120" spans="1:10" hidden="1" x14ac:dyDescent="0.2">
      <c r="A120" s="38" t="s">
        <v>75</v>
      </c>
      <c r="B120" t="s">
        <v>9</v>
      </c>
      <c r="C120">
        <v>1</v>
      </c>
      <c r="D120" t="s">
        <v>123</v>
      </c>
      <c r="E120">
        <v>-0.744948488357144</v>
      </c>
      <c r="F120">
        <v>0.29756855081707301</v>
      </c>
      <c r="G120">
        <v>-2.5034516796605102</v>
      </c>
      <c r="H120">
        <v>-1.35354450905469</v>
      </c>
      <c r="I120">
        <v>-0.136352467659594</v>
      </c>
      <c r="J120">
        <v>1.8179725926441299E-2</v>
      </c>
    </row>
    <row r="121" spans="1:10" hidden="1" x14ac:dyDescent="0.2">
      <c r="A121" s="38" t="s">
        <v>75</v>
      </c>
      <c r="B121" t="s">
        <v>9</v>
      </c>
      <c r="C121">
        <v>1</v>
      </c>
      <c r="D121" t="s">
        <v>116</v>
      </c>
      <c r="E121">
        <v>-1.2844538938333301</v>
      </c>
      <c r="F121">
        <v>0.33879669885783198</v>
      </c>
      <c r="G121">
        <v>-3.7912231676505299</v>
      </c>
      <c r="H121">
        <v>-1.9773709449940799</v>
      </c>
      <c r="I121">
        <v>-0.59153684267258799</v>
      </c>
      <c r="J121">
        <v>7.0304849069858003E-4</v>
      </c>
    </row>
    <row r="122" spans="1:10" hidden="1" x14ac:dyDescent="0.2">
      <c r="A122" s="3" t="s">
        <v>15</v>
      </c>
      <c r="B122" t="s">
        <v>18</v>
      </c>
      <c r="C122">
        <v>0</v>
      </c>
      <c r="D122" t="s">
        <v>16</v>
      </c>
      <c r="E122">
        <v>0.43165305524285802</v>
      </c>
      <c r="F122">
        <v>0.56947584702556997</v>
      </c>
      <c r="G122">
        <v>0.75798307776778395</v>
      </c>
      <c r="H122">
        <v>-0.70357629789652698</v>
      </c>
      <c r="I122">
        <v>1.5668824083822399</v>
      </c>
      <c r="J122">
        <v>0.45093498111600899</v>
      </c>
    </row>
    <row r="123" spans="1:10" hidden="1" x14ac:dyDescent="0.2">
      <c r="A123" s="3" t="s">
        <v>15</v>
      </c>
      <c r="B123" t="s">
        <v>18</v>
      </c>
      <c r="C123">
        <v>1</v>
      </c>
      <c r="D123" t="s">
        <v>16</v>
      </c>
      <c r="E123">
        <v>0.65948505755555398</v>
      </c>
      <c r="F123">
        <v>0.30526439750171203</v>
      </c>
      <c r="G123">
        <v>2.16037331229187</v>
      </c>
      <c r="H123">
        <v>3.68942141447147E-2</v>
      </c>
      <c r="I123">
        <v>1.28207590096639</v>
      </c>
      <c r="J123">
        <v>3.8589331224057798E-2</v>
      </c>
    </row>
    <row r="124" spans="1:10" hidden="1" x14ac:dyDescent="0.2">
      <c r="A124" s="3" t="s">
        <v>15</v>
      </c>
      <c r="B124" t="s">
        <v>25</v>
      </c>
      <c r="C124">
        <v>0</v>
      </c>
      <c r="D124" t="s">
        <v>16</v>
      </c>
      <c r="E124">
        <v>0.65338412650714395</v>
      </c>
      <c r="F124">
        <v>0.57562365461465104</v>
      </c>
      <c r="G124">
        <v>1.13508908341258</v>
      </c>
      <c r="H124">
        <v>-0.49410065707591999</v>
      </c>
      <c r="I124">
        <v>1.80086891009021</v>
      </c>
      <c r="J124">
        <v>0.26010262715499199</v>
      </c>
    </row>
    <row r="125" spans="1:10" hidden="1" x14ac:dyDescent="0.2">
      <c r="A125" s="3" t="s">
        <v>15</v>
      </c>
      <c r="B125" t="s">
        <v>25</v>
      </c>
      <c r="C125">
        <v>1</v>
      </c>
      <c r="D125" t="s">
        <v>16</v>
      </c>
      <c r="E125">
        <v>0.47782266244444499</v>
      </c>
      <c r="F125">
        <v>0.40765471699170902</v>
      </c>
      <c r="G125">
        <v>1.1721259255149601</v>
      </c>
      <c r="H125">
        <v>-0.35359461434706801</v>
      </c>
      <c r="I125">
        <v>1.3092399392359599</v>
      </c>
      <c r="J125">
        <v>0.25007598997802499</v>
      </c>
    </row>
    <row r="126" spans="1:10" hidden="1" x14ac:dyDescent="0.2">
      <c r="A126" s="3" t="s">
        <v>15</v>
      </c>
      <c r="B126" t="s">
        <v>14</v>
      </c>
      <c r="C126">
        <v>0</v>
      </c>
      <c r="D126" t="s">
        <v>16</v>
      </c>
      <c r="E126">
        <v>0.51607456145714303</v>
      </c>
      <c r="F126">
        <v>0.55688751881619003</v>
      </c>
      <c r="G126">
        <v>0.92671238628977504</v>
      </c>
      <c r="H126">
        <v>-0.59406041803165899</v>
      </c>
      <c r="I126">
        <v>1.6262095409459401</v>
      </c>
      <c r="J126">
        <v>0.35717191214060101</v>
      </c>
    </row>
    <row r="127" spans="1:10" hidden="1" x14ac:dyDescent="0.2">
      <c r="A127" s="3" t="s">
        <v>15</v>
      </c>
      <c r="B127" t="s">
        <v>14</v>
      </c>
      <c r="C127">
        <v>1</v>
      </c>
      <c r="D127" t="s">
        <v>16</v>
      </c>
      <c r="E127">
        <v>0.72605478720370298</v>
      </c>
      <c r="F127">
        <v>0.31935757587826202</v>
      </c>
      <c r="G127">
        <v>2.2734854033350702</v>
      </c>
      <c r="H127">
        <v>7.4720716991425601E-2</v>
      </c>
      <c r="I127">
        <v>1.3773888574159801</v>
      </c>
      <c r="J127">
        <v>3.0075663418529301E-2</v>
      </c>
    </row>
    <row r="128" spans="1:10" hidden="1" x14ac:dyDescent="0.2">
      <c r="A128" s="3" t="s">
        <v>15</v>
      </c>
      <c r="B128" t="s">
        <v>7</v>
      </c>
      <c r="C128">
        <v>0</v>
      </c>
      <c r="D128" t="s">
        <v>16</v>
      </c>
      <c r="E128">
        <v>0.652587828107143</v>
      </c>
      <c r="F128">
        <v>0.45825092131321199</v>
      </c>
      <c r="G128">
        <v>1.42408405036485</v>
      </c>
      <c r="H128">
        <v>-0.26091868791998102</v>
      </c>
      <c r="I128">
        <v>1.5660943441342701</v>
      </c>
      <c r="J128">
        <v>0.15874179557571999</v>
      </c>
    </row>
    <row r="129" spans="1:11" hidden="1" x14ac:dyDescent="0.2">
      <c r="A129" s="3" t="s">
        <v>15</v>
      </c>
      <c r="B129" t="s">
        <v>7</v>
      </c>
      <c r="C129">
        <v>1</v>
      </c>
      <c r="D129" t="s">
        <v>16</v>
      </c>
      <c r="E129">
        <v>0.63829820353703703</v>
      </c>
      <c r="F129">
        <v>0.40964440703787303</v>
      </c>
      <c r="G129">
        <v>1.55817629283054</v>
      </c>
      <c r="H129">
        <v>-0.19717707285778899</v>
      </c>
      <c r="I129">
        <v>1.47377347993186</v>
      </c>
      <c r="J129">
        <v>0.12934319213353901</v>
      </c>
    </row>
    <row r="130" spans="1:11" hidden="1" x14ac:dyDescent="0.2">
      <c r="A130" s="3" t="s">
        <v>15</v>
      </c>
      <c r="B130" t="s">
        <v>21</v>
      </c>
      <c r="C130">
        <v>0</v>
      </c>
      <c r="D130" t="s">
        <v>16</v>
      </c>
      <c r="E130">
        <v>0.38330052765</v>
      </c>
      <c r="F130">
        <v>0.62511671721621898</v>
      </c>
      <c r="G130">
        <v>0.61316633693131894</v>
      </c>
      <c r="H130">
        <v>-0.86284687303180496</v>
      </c>
      <c r="I130">
        <v>1.6294479283318</v>
      </c>
      <c r="J130">
        <v>0.54169851045568695</v>
      </c>
    </row>
    <row r="131" spans="1:11" hidden="1" x14ac:dyDescent="0.2">
      <c r="A131" s="3" t="s">
        <v>15</v>
      </c>
      <c r="B131" t="s">
        <v>21</v>
      </c>
      <c r="C131">
        <v>1</v>
      </c>
      <c r="D131" t="s">
        <v>16</v>
      </c>
      <c r="E131">
        <v>0.114053920240743</v>
      </c>
      <c r="F131">
        <v>0.45091938589804897</v>
      </c>
      <c r="G131">
        <v>0.252936386874548</v>
      </c>
      <c r="H131">
        <v>-0.80560223053913804</v>
      </c>
      <c r="I131">
        <v>1.03371007102062</v>
      </c>
      <c r="J131">
        <v>0.80198716213735499</v>
      </c>
    </row>
    <row r="132" spans="1:11" hidden="1" x14ac:dyDescent="0.2">
      <c r="A132" s="3" t="s">
        <v>15</v>
      </c>
      <c r="B132" t="s">
        <v>11</v>
      </c>
      <c r="C132">
        <v>0</v>
      </c>
      <c r="D132" t="s">
        <v>16</v>
      </c>
      <c r="E132">
        <v>0.42549014747142999</v>
      </c>
      <c r="F132">
        <v>0.576673393325985</v>
      </c>
      <c r="G132">
        <v>0.73783557971592795</v>
      </c>
      <c r="H132">
        <v>-0.72408725198719304</v>
      </c>
      <c r="I132">
        <v>1.5750675469300499</v>
      </c>
      <c r="J132">
        <v>0.46301238960159002</v>
      </c>
    </row>
    <row r="133" spans="1:11" hidden="1" x14ac:dyDescent="0.2">
      <c r="A133" s="3" t="s">
        <v>15</v>
      </c>
      <c r="B133" t="s">
        <v>11</v>
      </c>
      <c r="C133">
        <v>1</v>
      </c>
      <c r="D133" t="s">
        <v>16</v>
      </c>
      <c r="E133">
        <v>0.422735414277779</v>
      </c>
      <c r="F133">
        <v>0.35359332124284898</v>
      </c>
      <c r="G133">
        <v>1.1955412867864701</v>
      </c>
      <c r="H133">
        <v>-0.29842291895297601</v>
      </c>
      <c r="I133">
        <v>1.14389374750853</v>
      </c>
      <c r="J133">
        <v>0.240941229573126</v>
      </c>
    </row>
    <row r="134" spans="1:11" hidden="1" x14ac:dyDescent="0.2">
      <c r="A134" s="3" t="s">
        <v>15</v>
      </c>
      <c r="B134" t="s">
        <v>13</v>
      </c>
      <c r="C134">
        <v>0</v>
      </c>
      <c r="D134" t="s">
        <v>16</v>
      </c>
      <c r="E134">
        <v>-0.236895629914286</v>
      </c>
      <c r="F134">
        <v>0.55858739831409199</v>
      </c>
      <c r="G134">
        <v>-0.42409769828190902</v>
      </c>
      <c r="H134">
        <v>-1.3504192572498701</v>
      </c>
      <c r="I134">
        <v>0.87662799742129904</v>
      </c>
      <c r="J134">
        <v>0.67275901042708797</v>
      </c>
    </row>
    <row r="135" spans="1:11" hidden="1" x14ac:dyDescent="0.2">
      <c r="A135" s="3" t="s">
        <v>15</v>
      </c>
      <c r="B135" t="s">
        <v>13</v>
      </c>
      <c r="C135">
        <v>1</v>
      </c>
      <c r="D135" t="s">
        <v>16</v>
      </c>
      <c r="E135">
        <v>0.73576154292592499</v>
      </c>
      <c r="F135">
        <v>0.37756580870642298</v>
      </c>
      <c r="G135">
        <v>1.9486974878544101</v>
      </c>
      <c r="H135">
        <v>-3.42890008303584E-2</v>
      </c>
      <c r="I135">
        <v>1.50581208668221</v>
      </c>
      <c r="J135">
        <v>6.0431953325716402E-2</v>
      </c>
    </row>
    <row r="136" spans="1:11" hidden="1" x14ac:dyDescent="0.2">
      <c r="A136" s="3" t="s">
        <v>15</v>
      </c>
      <c r="B136" t="s">
        <v>17</v>
      </c>
      <c r="C136">
        <v>0</v>
      </c>
      <c r="D136" t="s">
        <v>16</v>
      </c>
      <c r="E136">
        <v>0.50406024915000003</v>
      </c>
      <c r="F136">
        <v>0.68285744998848696</v>
      </c>
      <c r="G136">
        <v>0.73816321277376196</v>
      </c>
      <c r="H136">
        <v>-0.85719119862568005</v>
      </c>
      <c r="I136">
        <v>1.86531169692568</v>
      </c>
      <c r="J136">
        <v>0.46281452834757097</v>
      </c>
    </row>
    <row r="137" spans="1:11" hidden="1" x14ac:dyDescent="0.2">
      <c r="A137" s="3" t="s">
        <v>15</v>
      </c>
      <c r="B137" t="s">
        <v>17</v>
      </c>
      <c r="C137">
        <v>1</v>
      </c>
      <c r="D137" t="s">
        <v>16</v>
      </c>
      <c r="E137">
        <v>9.5748412351852899E-2</v>
      </c>
      <c r="F137">
        <v>0.31437384906114701</v>
      </c>
      <c r="G137">
        <v>0.30456862947664998</v>
      </c>
      <c r="H137">
        <v>-0.54542128000375201</v>
      </c>
      <c r="I137">
        <v>0.736918104707458</v>
      </c>
      <c r="J137">
        <v>0.76273004959294599</v>
      </c>
    </row>
    <row r="138" spans="1:11" hidden="1" x14ac:dyDescent="0.2">
      <c r="A138" s="3" t="s">
        <v>15</v>
      </c>
      <c r="B138" t="s">
        <v>26</v>
      </c>
      <c r="C138">
        <v>0</v>
      </c>
      <c r="D138" t="s">
        <v>16</v>
      </c>
      <c r="E138">
        <v>0.167067743728571</v>
      </c>
      <c r="F138">
        <v>0.68059269502361797</v>
      </c>
      <c r="G138">
        <v>0.24547390083693699</v>
      </c>
      <c r="H138">
        <v>-1.1896689975372301</v>
      </c>
      <c r="I138">
        <v>1.5238044849943699</v>
      </c>
      <c r="J138">
        <v>0.80678787184689804</v>
      </c>
    </row>
    <row r="139" spans="1:11" hidden="1" x14ac:dyDescent="0.2">
      <c r="A139" s="3" t="s">
        <v>15</v>
      </c>
      <c r="B139" t="s">
        <v>26</v>
      </c>
      <c r="C139">
        <v>1</v>
      </c>
      <c r="D139" t="s">
        <v>16</v>
      </c>
      <c r="E139">
        <v>0.12680654588888901</v>
      </c>
      <c r="F139">
        <v>0.39590363793830102</v>
      </c>
      <c r="G139">
        <v>0.32029649070476901</v>
      </c>
      <c r="H139">
        <v>-0.680644247163531</v>
      </c>
      <c r="I139">
        <v>0.93425733894131002</v>
      </c>
      <c r="J139">
        <v>0.75089260856849604</v>
      </c>
    </row>
    <row r="140" spans="1:11" hidden="1" x14ac:dyDescent="0.2">
      <c r="A140" s="3" t="s">
        <v>15</v>
      </c>
      <c r="B140" t="s">
        <v>9</v>
      </c>
      <c r="C140">
        <v>0</v>
      </c>
      <c r="D140" t="s">
        <v>16</v>
      </c>
      <c r="E140">
        <v>0.215042533735715</v>
      </c>
      <c r="F140">
        <v>0.49277194668812802</v>
      </c>
      <c r="G140">
        <v>0.43639362017459499</v>
      </c>
      <c r="H140">
        <v>-0.76728038866011405</v>
      </c>
      <c r="I140">
        <v>1.1973654561315401</v>
      </c>
      <c r="J140">
        <v>0.66385698958088402</v>
      </c>
    </row>
    <row r="141" spans="1:11" hidden="1" x14ac:dyDescent="0.2">
      <c r="A141" s="3" t="s">
        <v>15</v>
      </c>
      <c r="B141" t="s">
        <v>9</v>
      </c>
      <c r="C141">
        <v>1</v>
      </c>
      <c r="D141" t="s">
        <v>16</v>
      </c>
      <c r="E141">
        <v>0.69533051999999995</v>
      </c>
      <c r="F141">
        <v>0.25273378785490702</v>
      </c>
      <c r="G141">
        <v>2.75123688803804</v>
      </c>
      <c r="H141">
        <v>0.17987656131122101</v>
      </c>
      <c r="I141">
        <v>1.21078447868878</v>
      </c>
      <c r="J141">
        <v>9.8258374814340303E-3</v>
      </c>
    </row>
    <row r="142" spans="1:11" s="42" customFormat="1" x14ac:dyDescent="0.2">
      <c r="A142" s="84" t="s">
        <v>225</v>
      </c>
      <c r="B142" s="118" t="s">
        <v>18</v>
      </c>
      <c r="C142" s="43" t="s">
        <v>66</v>
      </c>
      <c r="D142" s="43" t="s">
        <v>257</v>
      </c>
      <c r="E142" s="43">
        <v>-0.46018198919680903</v>
      </c>
      <c r="F142" s="43">
        <v>0.19311544789514801</v>
      </c>
      <c r="G142" s="43">
        <v>-2.3829372233683901</v>
      </c>
      <c r="H142" s="43">
        <v>-0.84309424888908102</v>
      </c>
      <c r="I142" s="43">
        <v>-7.7269729504536394E-2</v>
      </c>
      <c r="J142" s="43">
        <v>1.8972902701248798E-2</v>
      </c>
      <c r="K142" s="43" t="s">
        <v>61</v>
      </c>
    </row>
    <row r="143" spans="1:11" x14ac:dyDescent="0.2">
      <c r="A143" s="67" t="s">
        <v>225</v>
      </c>
      <c r="B143" s="15" t="s">
        <v>18</v>
      </c>
      <c r="C143" s="159" t="s">
        <v>64</v>
      </c>
      <c r="D143" t="s">
        <v>257</v>
      </c>
      <c r="E143">
        <v>-0.259939619657998</v>
      </c>
      <c r="F143">
        <v>0.26681211363264301</v>
      </c>
      <c r="G143">
        <v>-0.97424219657392797</v>
      </c>
      <c r="H143">
        <v>-0.79181984732871902</v>
      </c>
      <c r="I143">
        <v>0.27194060801272202</v>
      </c>
      <c r="J143">
        <v>0.33319816990642498</v>
      </c>
    </row>
    <row r="144" spans="1:11" x14ac:dyDescent="0.2">
      <c r="A144" s="67" t="s">
        <v>225</v>
      </c>
      <c r="B144" s="15" t="s">
        <v>18</v>
      </c>
      <c r="C144" s="160" t="s">
        <v>65</v>
      </c>
      <c r="D144" s="11" t="s">
        <v>257</v>
      </c>
      <c r="E144" s="11">
        <v>-0.70345051536153802</v>
      </c>
      <c r="F144" s="11">
        <v>0.225479886962134</v>
      </c>
      <c r="G144" s="11">
        <v>-3.1197927444396498</v>
      </c>
      <c r="H144" s="11">
        <v>-1.1633197767127501</v>
      </c>
      <c r="I144" s="11">
        <v>-0.24358125401032399</v>
      </c>
      <c r="J144" s="11">
        <v>3.8944886915571399E-3</v>
      </c>
      <c r="K144" s="11" t="s">
        <v>61</v>
      </c>
    </row>
    <row r="145" spans="1:11" s="42" customFormat="1" x14ac:dyDescent="0.2">
      <c r="A145" s="84" t="s">
        <v>225</v>
      </c>
      <c r="B145" s="119" t="s">
        <v>25</v>
      </c>
      <c r="C145" s="43" t="s">
        <v>66</v>
      </c>
      <c r="D145" s="43" t="s">
        <v>257</v>
      </c>
      <c r="E145" s="43">
        <v>-0.43961414637021301</v>
      </c>
      <c r="F145" s="43">
        <v>0.20275313728974301</v>
      </c>
      <c r="G145" s="43">
        <v>-2.1682236450032599</v>
      </c>
      <c r="H145" s="43">
        <v>-0.84163616379817996</v>
      </c>
      <c r="I145" s="43">
        <v>-3.7592128942245902E-2</v>
      </c>
      <c r="J145" s="43">
        <v>3.2399704763349101E-2</v>
      </c>
      <c r="K145" s="43" t="s">
        <v>61</v>
      </c>
    </row>
    <row r="146" spans="1:11" x14ac:dyDescent="0.2">
      <c r="A146" s="67" t="s">
        <v>225</v>
      </c>
      <c r="B146" s="12" t="s">
        <v>25</v>
      </c>
      <c r="C146" s="159" t="s">
        <v>64</v>
      </c>
      <c r="D146" t="s">
        <v>257</v>
      </c>
      <c r="E146">
        <v>-0.387773345270292</v>
      </c>
      <c r="F146">
        <v>0.268941091791497</v>
      </c>
      <c r="G146">
        <v>-1.4418523502199601</v>
      </c>
      <c r="H146">
        <v>-0.92389761333490705</v>
      </c>
      <c r="I146">
        <v>0.14835092279432399</v>
      </c>
      <c r="J146">
        <v>0.15367972651779599</v>
      </c>
    </row>
    <row r="147" spans="1:11" x14ac:dyDescent="0.2">
      <c r="A147" s="67" t="s">
        <v>225</v>
      </c>
      <c r="B147" s="12" t="s">
        <v>25</v>
      </c>
      <c r="C147" s="159" t="s">
        <v>65</v>
      </c>
      <c r="D147" t="s">
        <v>257</v>
      </c>
      <c r="E147">
        <v>-0.51719533684230701</v>
      </c>
      <c r="F147">
        <v>0.31544350945655503</v>
      </c>
      <c r="G147">
        <v>-1.6395814823812001</v>
      </c>
      <c r="H147">
        <v>-1.16054661595742</v>
      </c>
      <c r="I147">
        <v>0.12615594227280799</v>
      </c>
      <c r="J147">
        <v>0.11120263572839501</v>
      </c>
    </row>
    <row r="148" spans="1:11" s="42" customFormat="1" x14ac:dyDescent="0.2">
      <c r="A148" s="84" t="s">
        <v>225</v>
      </c>
      <c r="B148" s="120" t="s">
        <v>14</v>
      </c>
      <c r="C148" s="41" t="s">
        <v>66</v>
      </c>
      <c r="D148" s="41" t="s">
        <v>257</v>
      </c>
      <c r="E148" s="41">
        <v>-0.34103115348155999</v>
      </c>
      <c r="F148" s="41">
        <v>0.194187329961618</v>
      </c>
      <c r="G148" s="41">
        <v>-1.75619672791715</v>
      </c>
      <c r="H148" s="41">
        <v>-0.72606875730693399</v>
      </c>
      <c r="I148" s="41">
        <v>4.4006450343813897E-2</v>
      </c>
      <c r="J148" s="41">
        <v>8.19705201867479E-2</v>
      </c>
      <c r="K148" s="41" t="s">
        <v>200</v>
      </c>
    </row>
    <row r="149" spans="1:11" x14ac:dyDescent="0.2">
      <c r="A149" s="67" t="s">
        <v>225</v>
      </c>
      <c r="B149" s="121" t="s">
        <v>14</v>
      </c>
      <c r="C149" s="159" t="s">
        <v>64</v>
      </c>
      <c r="D149" t="s">
        <v>257</v>
      </c>
      <c r="E149">
        <v>-0.109349691906226</v>
      </c>
      <c r="F149">
        <v>0.262826410499789</v>
      </c>
      <c r="G149">
        <v>-0.41605290616832202</v>
      </c>
      <c r="H149">
        <v>-0.63328456559407198</v>
      </c>
      <c r="I149">
        <v>0.41458518178162002</v>
      </c>
      <c r="J149">
        <v>0.67860883472051303</v>
      </c>
    </row>
    <row r="150" spans="1:11" x14ac:dyDescent="0.2">
      <c r="A150" s="67" t="s">
        <v>225</v>
      </c>
      <c r="B150" s="121" t="s">
        <v>14</v>
      </c>
      <c r="C150" s="160" t="s">
        <v>65</v>
      </c>
      <c r="D150" s="11" t="s">
        <v>257</v>
      </c>
      <c r="E150" s="11">
        <v>-0.61723426065384601</v>
      </c>
      <c r="F150" s="11">
        <v>0.248702577657816</v>
      </c>
      <c r="G150" s="11">
        <v>-2.4818169014037501</v>
      </c>
      <c r="H150" s="11">
        <v>-1.12446651194041</v>
      </c>
      <c r="I150" s="11">
        <v>-0.11000200936728401</v>
      </c>
      <c r="J150" s="11">
        <v>1.8697129160311202E-2</v>
      </c>
      <c r="K150" s="11" t="s">
        <v>61</v>
      </c>
    </row>
    <row r="151" spans="1:11" s="42" customFormat="1" x14ac:dyDescent="0.2">
      <c r="A151" s="84" t="s">
        <v>225</v>
      </c>
      <c r="B151" s="122" t="s">
        <v>7</v>
      </c>
      <c r="C151" s="43" t="s">
        <v>66</v>
      </c>
      <c r="D151" s="43" t="s">
        <v>257</v>
      </c>
      <c r="E151" s="43">
        <v>-0.41484907044964497</v>
      </c>
      <c r="F151" s="43">
        <v>0.173238659205766</v>
      </c>
      <c r="G151" s="43">
        <v>-2.3946679820287899</v>
      </c>
      <c r="H151" s="43">
        <v>-0.75834932993461301</v>
      </c>
      <c r="I151" s="43">
        <v>-7.1348810964677697E-2</v>
      </c>
      <c r="J151" s="43">
        <v>1.8407801961030999E-2</v>
      </c>
      <c r="K151" s="43" t="s">
        <v>61</v>
      </c>
    </row>
    <row r="152" spans="1:11" x14ac:dyDescent="0.2">
      <c r="A152" s="67" t="s">
        <v>225</v>
      </c>
      <c r="B152" s="123" t="s">
        <v>7</v>
      </c>
      <c r="C152" s="161" t="s">
        <v>64</v>
      </c>
      <c r="D152" s="20" t="s">
        <v>257</v>
      </c>
      <c r="E152" s="20">
        <v>-0.414963304781718</v>
      </c>
      <c r="F152" s="20">
        <v>0.21271543493185599</v>
      </c>
      <c r="G152" s="20">
        <v>-1.9507907590939599</v>
      </c>
      <c r="H152" s="20">
        <v>-0.83900377438500695</v>
      </c>
      <c r="I152" s="20">
        <v>9.0771648215708396E-3</v>
      </c>
      <c r="J152" s="20">
        <v>5.4974193326168999E-2</v>
      </c>
      <c r="K152" s="20" t="s">
        <v>200</v>
      </c>
    </row>
    <row r="153" spans="1:11" x14ac:dyDescent="0.2">
      <c r="A153" s="67" t="s">
        <v>225</v>
      </c>
      <c r="B153" s="123" t="s">
        <v>7</v>
      </c>
      <c r="C153" s="159" t="s">
        <v>65</v>
      </c>
      <c r="D153" t="s">
        <v>257</v>
      </c>
      <c r="E153">
        <v>-0.322407571061539</v>
      </c>
      <c r="F153">
        <v>0.33074679518244299</v>
      </c>
      <c r="G153">
        <v>-0.97478668201061602</v>
      </c>
      <c r="H153">
        <v>-0.99697010718864998</v>
      </c>
      <c r="I153">
        <v>0.35215496506557298</v>
      </c>
      <c r="J153">
        <v>0.33721175873364401</v>
      </c>
    </row>
    <row r="154" spans="1:11" s="42" customFormat="1" x14ac:dyDescent="0.2">
      <c r="A154" s="84" t="s">
        <v>225</v>
      </c>
      <c r="B154" s="124" t="s">
        <v>21</v>
      </c>
      <c r="C154" s="115" t="s">
        <v>66</v>
      </c>
      <c r="D154" s="42" t="s">
        <v>257</v>
      </c>
      <c r="E154" s="42">
        <v>-0.2679232728</v>
      </c>
      <c r="F154" s="42">
        <v>0.22232978774404599</v>
      </c>
      <c r="G154" s="42">
        <v>-1.2050714189879199</v>
      </c>
      <c r="H154" s="42">
        <v>-0.70876217175850598</v>
      </c>
      <c r="I154" s="42">
        <v>0.172915626158505</v>
      </c>
      <c r="J154" s="42">
        <v>0.230884694372921</v>
      </c>
    </row>
    <row r="155" spans="1:11" x14ac:dyDescent="0.2">
      <c r="A155" s="67" t="s">
        <v>225</v>
      </c>
      <c r="B155" s="9" t="s">
        <v>21</v>
      </c>
      <c r="C155" s="161" t="s">
        <v>64</v>
      </c>
      <c r="D155" s="20" t="s">
        <v>257</v>
      </c>
      <c r="E155" s="20">
        <v>-0.48700413047202601</v>
      </c>
      <c r="F155" s="20">
        <v>0.28875296827956798</v>
      </c>
      <c r="G155" s="20">
        <v>-1.68657705364439</v>
      </c>
      <c r="H155" s="20">
        <v>-1.06262265250282</v>
      </c>
      <c r="I155" s="20">
        <v>8.8614391558764299E-2</v>
      </c>
      <c r="J155" s="20">
        <v>9.6013409566245003E-2</v>
      </c>
      <c r="K155" s="20" t="s">
        <v>200</v>
      </c>
    </row>
    <row r="156" spans="1:11" x14ac:dyDescent="0.2">
      <c r="A156" s="67" t="s">
        <v>225</v>
      </c>
      <c r="B156" s="9" t="s">
        <v>21</v>
      </c>
      <c r="C156" s="159" t="s">
        <v>65</v>
      </c>
      <c r="D156" t="s">
        <v>257</v>
      </c>
      <c r="E156">
        <v>4.5033596342307802E-2</v>
      </c>
      <c r="F156">
        <v>0.35620949431493698</v>
      </c>
      <c r="G156">
        <v>0.12642446947944599</v>
      </c>
      <c r="H156">
        <v>-0.68146045704707103</v>
      </c>
      <c r="I156">
        <v>0.77152764973168697</v>
      </c>
      <c r="J156">
        <v>0.90021236908165803</v>
      </c>
    </row>
    <row r="157" spans="1:11" s="42" customFormat="1" x14ac:dyDescent="0.2">
      <c r="A157" s="84" t="s">
        <v>225</v>
      </c>
      <c r="B157" s="125" t="s">
        <v>11</v>
      </c>
      <c r="C157" s="43" t="s">
        <v>66</v>
      </c>
      <c r="D157" s="43" t="s">
        <v>257</v>
      </c>
      <c r="E157" s="43">
        <v>-0.45686558140780098</v>
      </c>
      <c r="F157" s="43">
        <v>0.19928514703200101</v>
      </c>
      <c r="G157" s="43">
        <v>-2.2925219877748302</v>
      </c>
      <c r="H157" s="43">
        <v>-0.85201121478334496</v>
      </c>
      <c r="I157" s="43">
        <v>-6.1719948032257797E-2</v>
      </c>
      <c r="J157" s="43">
        <v>2.3869471609342999E-2</v>
      </c>
      <c r="K157" s="43" t="s">
        <v>61</v>
      </c>
    </row>
    <row r="158" spans="1:11" x14ac:dyDescent="0.2">
      <c r="A158" s="67" t="s">
        <v>225</v>
      </c>
      <c r="B158" s="13" t="s">
        <v>11</v>
      </c>
      <c r="C158" s="159" t="s">
        <v>64</v>
      </c>
      <c r="D158" t="s">
        <v>257</v>
      </c>
      <c r="E158">
        <v>-0.34656347102679302</v>
      </c>
      <c r="F158">
        <v>0.26881785389512403</v>
      </c>
      <c r="G158">
        <v>-1.2892129968495301</v>
      </c>
      <c r="H158">
        <v>-0.88244206883495702</v>
      </c>
      <c r="I158">
        <v>0.189315126781371</v>
      </c>
      <c r="J158">
        <v>0.20145051566241001</v>
      </c>
    </row>
    <row r="159" spans="1:11" x14ac:dyDescent="0.2">
      <c r="A159" s="67" t="s">
        <v>225</v>
      </c>
      <c r="B159" s="13" t="s">
        <v>11</v>
      </c>
      <c r="C159" s="161" t="s">
        <v>65</v>
      </c>
      <c r="D159" s="20" t="s">
        <v>257</v>
      </c>
      <c r="E159" s="20">
        <v>-0.473665072642308</v>
      </c>
      <c r="F159" s="20">
        <v>0.27250078343861101</v>
      </c>
      <c r="G159" s="20">
        <v>-1.738215452687</v>
      </c>
      <c r="H159" s="20">
        <v>-1.0294340846189101</v>
      </c>
      <c r="I159" s="20">
        <v>8.2103939334293996E-2</v>
      </c>
      <c r="J159" s="20">
        <v>9.2098160879464694E-2</v>
      </c>
      <c r="K159" s="20" t="s">
        <v>200</v>
      </c>
    </row>
    <row r="160" spans="1:11" s="42" customFormat="1" x14ac:dyDescent="0.2">
      <c r="A160" s="84" t="s">
        <v>225</v>
      </c>
      <c r="B160" s="126" t="s">
        <v>13</v>
      </c>
      <c r="C160" s="41" t="s">
        <v>66</v>
      </c>
      <c r="D160" s="41" t="s">
        <v>257</v>
      </c>
      <c r="E160" s="41">
        <v>-0.38212826434219799</v>
      </c>
      <c r="F160" s="41">
        <v>0.19666752895835399</v>
      </c>
      <c r="G160" s="41">
        <v>-1.9430165537042901</v>
      </c>
      <c r="H160" s="41">
        <v>-0.77208364462035195</v>
      </c>
      <c r="I160" s="41">
        <v>7.8271159359551996E-3</v>
      </c>
      <c r="J160" s="41">
        <v>5.4691775358230797E-2</v>
      </c>
      <c r="K160" s="41" t="s">
        <v>200</v>
      </c>
    </row>
    <row r="161" spans="1:11" x14ac:dyDescent="0.2">
      <c r="A161" s="67" t="s">
        <v>225</v>
      </c>
      <c r="B161" s="14" t="s">
        <v>13</v>
      </c>
      <c r="C161" s="159" t="s">
        <v>64</v>
      </c>
      <c r="D161" t="s">
        <v>257</v>
      </c>
      <c r="E161">
        <v>-0.13509925436485401</v>
      </c>
      <c r="F161">
        <v>0.26222981722129401</v>
      </c>
      <c r="G161">
        <v>-0.51519409881159794</v>
      </c>
      <c r="H161">
        <v>-0.65784484108790497</v>
      </c>
      <c r="I161">
        <v>0.38764633235819601</v>
      </c>
      <c r="J161">
        <v>0.60799558805907405</v>
      </c>
    </row>
    <row r="162" spans="1:11" x14ac:dyDescent="0.2">
      <c r="A162" s="67" t="s">
        <v>225</v>
      </c>
      <c r="B162" s="14" t="s">
        <v>13</v>
      </c>
      <c r="C162" s="160" t="s">
        <v>65</v>
      </c>
      <c r="D162" s="11" t="s">
        <v>257</v>
      </c>
      <c r="E162" s="11">
        <v>-0.81659208316923104</v>
      </c>
      <c r="F162" s="11">
        <v>0.279631080984104</v>
      </c>
      <c r="G162" s="11">
        <v>-2.9202479219956601</v>
      </c>
      <c r="H162" s="11">
        <v>-1.3869034328666701</v>
      </c>
      <c r="I162" s="11">
        <v>-0.246280733471786</v>
      </c>
      <c r="J162" s="11">
        <v>6.4664031541143696E-3</v>
      </c>
      <c r="K162" s="11" t="s">
        <v>61</v>
      </c>
    </row>
    <row r="163" spans="1:11" s="42" customFormat="1" x14ac:dyDescent="0.2">
      <c r="A163" s="84" t="s">
        <v>225</v>
      </c>
      <c r="B163" s="128" t="s">
        <v>17</v>
      </c>
      <c r="C163" s="42" t="s">
        <v>66</v>
      </c>
      <c r="D163" s="42" t="s">
        <v>257</v>
      </c>
      <c r="E163" s="42">
        <v>-0.325663255307447</v>
      </c>
      <c r="F163" s="42">
        <v>0.225161738739656</v>
      </c>
      <c r="G163" s="42">
        <v>-1.44635255141637</v>
      </c>
      <c r="H163" s="42">
        <v>-0.77211738995468704</v>
      </c>
      <c r="I163" s="42">
        <v>0.120790879339793</v>
      </c>
      <c r="J163" s="42">
        <v>0.15105689072025</v>
      </c>
    </row>
    <row r="164" spans="1:11" x14ac:dyDescent="0.2">
      <c r="A164" s="67" t="s">
        <v>225</v>
      </c>
      <c r="B164" s="127" t="s">
        <v>17</v>
      </c>
      <c r="C164" s="159" t="s">
        <v>64</v>
      </c>
      <c r="D164" t="s">
        <v>257</v>
      </c>
      <c r="E164">
        <v>-0.49484753212372001</v>
      </c>
      <c r="F164">
        <v>0.31664436115451899</v>
      </c>
      <c r="G164">
        <v>-1.5627864975060799</v>
      </c>
      <c r="H164">
        <v>-1.1260665296741801</v>
      </c>
      <c r="I164">
        <v>0.136371465426738</v>
      </c>
      <c r="J164">
        <v>0.122487786039186</v>
      </c>
    </row>
    <row r="165" spans="1:11" x14ac:dyDescent="0.2">
      <c r="A165" s="67" t="s">
        <v>225</v>
      </c>
      <c r="B165" s="127" t="s">
        <v>17</v>
      </c>
      <c r="C165" s="159" t="s">
        <v>65</v>
      </c>
      <c r="D165" t="s">
        <v>257</v>
      </c>
      <c r="E165">
        <v>-2.7163744907692099E-2</v>
      </c>
      <c r="F165">
        <v>0.24847480062632099</v>
      </c>
      <c r="G165">
        <v>-0.109321930591036</v>
      </c>
      <c r="H165">
        <v>-0.53393144187574004</v>
      </c>
      <c r="I165">
        <v>0.479603952060356</v>
      </c>
      <c r="J165">
        <v>0.91365176695523398</v>
      </c>
    </row>
    <row r="166" spans="1:11" s="42" customFormat="1" x14ac:dyDescent="0.2">
      <c r="A166" s="84" t="s">
        <v>225</v>
      </c>
      <c r="B166" s="129" t="s">
        <v>26</v>
      </c>
      <c r="C166" s="42" t="s">
        <v>66</v>
      </c>
      <c r="D166" s="42" t="s">
        <v>257</v>
      </c>
      <c r="E166" s="42">
        <v>-0.34359518924716298</v>
      </c>
      <c r="F166" s="42">
        <v>0.23061324860191301</v>
      </c>
      <c r="G166" s="42">
        <v>-1.48991955722492</v>
      </c>
      <c r="H166" s="42">
        <v>-0.80085866091453095</v>
      </c>
      <c r="I166" s="42">
        <v>0.11366828242020501</v>
      </c>
      <c r="J166" s="42">
        <v>0.139243185848687</v>
      </c>
    </row>
    <row r="167" spans="1:11" x14ac:dyDescent="0.2">
      <c r="A167" s="67" t="s">
        <v>225</v>
      </c>
      <c r="B167" s="53" t="s">
        <v>26</v>
      </c>
      <c r="C167" s="159" t="s">
        <v>64</v>
      </c>
      <c r="D167" t="s">
        <v>257</v>
      </c>
      <c r="E167">
        <v>-0.39764656157052802</v>
      </c>
      <c r="F167">
        <v>0.31637653465195398</v>
      </c>
      <c r="G167">
        <v>-1.2568775431085</v>
      </c>
      <c r="H167">
        <v>-1.02833165674594</v>
      </c>
      <c r="I167">
        <v>0.233038533604878</v>
      </c>
      <c r="J167">
        <v>0.21286019753834501</v>
      </c>
    </row>
    <row r="168" spans="1:11" x14ac:dyDescent="0.2">
      <c r="A168" s="67" t="s">
        <v>225</v>
      </c>
      <c r="B168" s="53" t="s">
        <v>26</v>
      </c>
      <c r="C168" s="159" t="s">
        <v>65</v>
      </c>
      <c r="D168" t="s">
        <v>257</v>
      </c>
      <c r="E168">
        <v>-0.25024566491538403</v>
      </c>
      <c r="F168">
        <v>0.309780542975574</v>
      </c>
      <c r="G168">
        <v>-0.80781595419669605</v>
      </c>
      <c r="H168">
        <v>-0.88204724774604903</v>
      </c>
      <c r="I168">
        <v>0.38155591791527999</v>
      </c>
      <c r="J168">
        <v>0.42535214538810001</v>
      </c>
    </row>
    <row r="169" spans="1:11" s="42" customFormat="1" x14ac:dyDescent="0.2">
      <c r="A169" s="84" t="s">
        <v>225</v>
      </c>
      <c r="B169" s="130" t="s">
        <v>9</v>
      </c>
      <c r="C169" s="42" t="s">
        <v>66</v>
      </c>
      <c r="D169" s="42" t="s">
        <v>257</v>
      </c>
      <c r="E169" s="42">
        <v>-0.22085118265957501</v>
      </c>
      <c r="F169" s="42">
        <v>0.17279125135614801</v>
      </c>
      <c r="G169" s="42">
        <v>-1.2781386842576199</v>
      </c>
      <c r="H169" s="42">
        <v>-0.56346431502670402</v>
      </c>
      <c r="I169" s="42">
        <v>0.121761949707555</v>
      </c>
      <c r="J169" s="42">
        <v>0.20401881379379699</v>
      </c>
    </row>
    <row r="170" spans="1:11" x14ac:dyDescent="0.2">
      <c r="A170" s="67" t="s">
        <v>225</v>
      </c>
      <c r="B170" s="5" t="s">
        <v>9</v>
      </c>
      <c r="C170" s="159" t="s">
        <v>64</v>
      </c>
      <c r="D170" t="s">
        <v>257</v>
      </c>
      <c r="E170">
        <v>4.1011610234830499E-2</v>
      </c>
      <c r="F170">
        <v>0.23172523235217399</v>
      </c>
      <c r="G170">
        <v>0.17698379161619099</v>
      </c>
      <c r="H170">
        <v>-0.42092419793548402</v>
      </c>
      <c r="I170">
        <v>0.50294741840514501</v>
      </c>
      <c r="J170">
        <v>0.86001804481399302</v>
      </c>
    </row>
    <row r="171" spans="1:11" x14ac:dyDescent="0.2">
      <c r="A171" s="67" t="s">
        <v>225</v>
      </c>
      <c r="B171" s="5" t="s">
        <v>9</v>
      </c>
      <c r="C171" s="160" t="s">
        <v>65</v>
      </c>
      <c r="D171" s="11" t="s">
        <v>257</v>
      </c>
      <c r="E171" s="11">
        <v>-0.48548839796153798</v>
      </c>
      <c r="F171" s="11">
        <v>0.20472696576142699</v>
      </c>
      <c r="G171" s="11">
        <v>-2.3713944870715702</v>
      </c>
      <c r="H171" s="11">
        <v>-0.90303179747190498</v>
      </c>
      <c r="I171" s="11">
        <v>-6.7944998451171398E-2</v>
      </c>
      <c r="J171" s="11">
        <v>2.4115757249721301E-2</v>
      </c>
      <c r="K171" s="11" t="s">
        <v>61</v>
      </c>
    </row>
    <row r="172" spans="1:11" hidden="1" x14ac:dyDescent="0.2">
      <c r="A172" s="6" t="s">
        <v>77</v>
      </c>
      <c r="B172" t="s">
        <v>18</v>
      </c>
      <c r="C172">
        <v>0</v>
      </c>
      <c r="D172" t="s">
        <v>128</v>
      </c>
      <c r="E172">
        <v>-0.26100279071583898</v>
      </c>
      <c r="F172">
        <v>0.773281702683424</v>
      </c>
      <c r="G172">
        <v>-0.33752614320255298</v>
      </c>
      <c r="H172">
        <v>-1.8032645164012699</v>
      </c>
      <c r="I172">
        <v>1.28125893496959</v>
      </c>
      <c r="J172">
        <v>0.736730362294027</v>
      </c>
    </row>
    <row r="173" spans="1:11" hidden="1" x14ac:dyDescent="0.2">
      <c r="A173" s="6" t="s">
        <v>77</v>
      </c>
      <c r="B173" t="s">
        <v>18</v>
      </c>
      <c r="C173">
        <v>0</v>
      </c>
      <c r="D173" t="s">
        <v>203</v>
      </c>
      <c r="E173">
        <v>-0.32863997659522698</v>
      </c>
      <c r="F173">
        <v>0.601079924722979</v>
      </c>
      <c r="G173">
        <v>-0.54674921433566104</v>
      </c>
      <c r="H173">
        <v>-1.5274560856033701</v>
      </c>
      <c r="I173">
        <v>0.87017613241291403</v>
      </c>
      <c r="J173">
        <v>0.58628975851313803</v>
      </c>
    </row>
    <row r="174" spans="1:11" hidden="1" x14ac:dyDescent="0.2">
      <c r="A174" s="6" t="s">
        <v>77</v>
      </c>
      <c r="B174" t="s">
        <v>18</v>
      </c>
      <c r="C174">
        <v>0</v>
      </c>
      <c r="D174" t="s">
        <v>205</v>
      </c>
      <c r="E174">
        <v>2.9217204563135001E-3</v>
      </c>
      <c r="F174">
        <v>0.35302912076058202</v>
      </c>
      <c r="G174">
        <v>8.2761457468970602E-3</v>
      </c>
      <c r="H174">
        <v>-0.701172659524543</v>
      </c>
      <c r="I174">
        <v>0.70701610043717</v>
      </c>
      <c r="J174">
        <v>0.993420208012739</v>
      </c>
    </row>
    <row r="175" spans="1:11" hidden="1" x14ac:dyDescent="0.2">
      <c r="A175" s="6" t="s">
        <v>77</v>
      </c>
      <c r="B175" t="s">
        <v>18</v>
      </c>
      <c r="C175">
        <v>1</v>
      </c>
      <c r="D175" t="s">
        <v>128</v>
      </c>
      <c r="E175">
        <v>-0.93616904114510402</v>
      </c>
      <c r="F175">
        <v>0.30951588135209501</v>
      </c>
      <c r="G175">
        <v>-3.0246236059213598</v>
      </c>
      <c r="H175">
        <v>-1.5692000963972399</v>
      </c>
      <c r="I175">
        <v>-0.30313798589296898</v>
      </c>
      <c r="J175">
        <v>5.1709877538502896E-3</v>
      </c>
    </row>
    <row r="176" spans="1:11" hidden="1" x14ac:dyDescent="0.2">
      <c r="A176" s="6" t="s">
        <v>77</v>
      </c>
      <c r="B176" t="s">
        <v>18</v>
      </c>
      <c r="C176">
        <v>1</v>
      </c>
      <c r="D176" t="s">
        <v>203</v>
      </c>
      <c r="E176">
        <v>-1.92554288312499E-2</v>
      </c>
      <c r="F176">
        <v>0.260930394295533</v>
      </c>
      <c r="G176">
        <v>-7.3795269743244005E-2</v>
      </c>
      <c r="H176">
        <v>-0.552918005777848</v>
      </c>
      <c r="I176">
        <v>0.51440714811534805</v>
      </c>
      <c r="J176">
        <v>0.94167995950747596</v>
      </c>
    </row>
    <row r="177" spans="1:10" hidden="1" x14ac:dyDescent="0.2">
      <c r="A177" s="6" t="s">
        <v>77</v>
      </c>
      <c r="B177" t="s">
        <v>18</v>
      </c>
      <c r="C177">
        <v>1</v>
      </c>
      <c r="D177" t="s">
        <v>205</v>
      </c>
      <c r="E177">
        <v>0.135664813568387</v>
      </c>
      <c r="F177">
        <v>0.200921030569924</v>
      </c>
      <c r="G177">
        <v>0.67521460139621203</v>
      </c>
      <c r="H177">
        <v>-0.27526483388107298</v>
      </c>
      <c r="I177">
        <v>0.54659446101784703</v>
      </c>
      <c r="J177">
        <v>0.50488795092120198</v>
      </c>
    </row>
    <row r="178" spans="1:10" hidden="1" x14ac:dyDescent="0.2">
      <c r="A178" s="6" t="s">
        <v>77</v>
      </c>
      <c r="B178" t="s">
        <v>25</v>
      </c>
      <c r="C178">
        <v>0</v>
      </c>
      <c r="D178" t="s">
        <v>128</v>
      </c>
      <c r="E178">
        <v>-0.266227801808125</v>
      </c>
      <c r="F178">
        <v>0.78877694916922503</v>
      </c>
      <c r="G178">
        <v>-0.33751975395392497</v>
      </c>
      <c r="H178">
        <v>-1.8393938221408801</v>
      </c>
      <c r="I178">
        <v>1.3069382185246301</v>
      </c>
      <c r="J178">
        <v>0.73673515706709702</v>
      </c>
    </row>
    <row r="179" spans="1:10" hidden="1" x14ac:dyDescent="0.2">
      <c r="A179" s="6" t="s">
        <v>77</v>
      </c>
      <c r="B179" t="s">
        <v>25</v>
      </c>
      <c r="C179">
        <v>0</v>
      </c>
      <c r="D179" t="s">
        <v>203</v>
      </c>
      <c r="E179">
        <v>-0.18075540904564799</v>
      </c>
      <c r="F179">
        <v>0.61312454126948301</v>
      </c>
      <c r="G179">
        <v>-0.29481026590681197</v>
      </c>
      <c r="H179">
        <v>-1.40359374829119</v>
      </c>
      <c r="I179">
        <v>1.04208293019989</v>
      </c>
      <c r="J179">
        <v>0.76901140094058895</v>
      </c>
    </row>
    <row r="180" spans="1:10" hidden="1" x14ac:dyDescent="0.2">
      <c r="A180" s="6" t="s">
        <v>77</v>
      </c>
      <c r="B180" t="s">
        <v>25</v>
      </c>
      <c r="C180">
        <v>0</v>
      </c>
      <c r="D180" t="s">
        <v>205</v>
      </c>
      <c r="E180">
        <v>-7.6232252090692995E-2</v>
      </c>
      <c r="F180">
        <v>0.36010322224761798</v>
      </c>
      <c r="G180">
        <v>-0.21169555666534201</v>
      </c>
      <c r="H180">
        <v>-0.79443548260973096</v>
      </c>
      <c r="I180">
        <v>0.64197097842834505</v>
      </c>
      <c r="J180">
        <v>0.832959712609044</v>
      </c>
    </row>
    <row r="181" spans="1:10" hidden="1" x14ac:dyDescent="0.2">
      <c r="A181" s="6" t="s">
        <v>77</v>
      </c>
      <c r="B181" t="s">
        <v>25</v>
      </c>
      <c r="C181">
        <v>1</v>
      </c>
      <c r="D181" t="s">
        <v>128</v>
      </c>
      <c r="E181">
        <v>-0.99597960698852195</v>
      </c>
      <c r="F181">
        <v>0.43266010666924598</v>
      </c>
      <c r="G181">
        <v>-2.3019908506376701</v>
      </c>
      <c r="H181">
        <v>-1.8808688821167601</v>
      </c>
      <c r="I181">
        <v>-0.111090331860282</v>
      </c>
      <c r="J181">
        <v>2.87099338663451E-2</v>
      </c>
    </row>
    <row r="182" spans="1:10" hidden="1" x14ac:dyDescent="0.2">
      <c r="A182" s="6" t="s">
        <v>77</v>
      </c>
      <c r="B182" t="s">
        <v>25</v>
      </c>
      <c r="C182">
        <v>1</v>
      </c>
      <c r="D182" t="s">
        <v>203</v>
      </c>
      <c r="E182">
        <v>0.100536444525694</v>
      </c>
      <c r="F182">
        <v>0.36474436056716902</v>
      </c>
      <c r="G182">
        <v>0.27563536381854498</v>
      </c>
      <c r="H182">
        <v>-0.64544953350701895</v>
      </c>
      <c r="I182">
        <v>0.84652242255840804</v>
      </c>
      <c r="J182">
        <v>0.78478274855351304</v>
      </c>
    </row>
    <row r="183" spans="1:10" hidden="1" x14ac:dyDescent="0.2">
      <c r="A183" s="6" t="s">
        <v>77</v>
      </c>
      <c r="B183" t="s">
        <v>25</v>
      </c>
      <c r="C183">
        <v>1</v>
      </c>
      <c r="D183" t="s">
        <v>205</v>
      </c>
      <c r="E183">
        <v>-2.14484268457368E-3</v>
      </c>
      <c r="F183">
        <v>0.28085962548586901</v>
      </c>
      <c r="G183">
        <v>-7.6367070591340496E-3</v>
      </c>
      <c r="H183">
        <v>-0.57656727400656305</v>
      </c>
      <c r="I183">
        <v>0.57227758863741596</v>
      </c>
      <c r="J183">
        <v>0.99395914169244703</v>
      </c>
    </row>
    <row r="184" spans="1:10" hidden="1" x14ac:dyDescent="0.2">
      <c r="A184" s="6" t="s">
        <v>77</v>
      </c>
      <c r="B184" t="s">
        <v>14</v>
      </c>
      <c r="C184">
        <v>0</v>
      </c>
      <c r="D184" t="s">
        <v>128</v>
      </c>
      <c r="E184">
        <v>0.214164654123986</v>
      </c>
      <c r="F184">
        <v>0.75544396998631502</v>
      </c>
      <c r="G184">
        <v>0.28349508717088001</v>
      </c>
      <c r="H184">
        <v>-1.29252083548048</v>
      </c>
      <c r="I184">
        <v>1.72085014372845</v>
      </c>
      <c r="J184">
        <v>0.77763412404469801</v>
      </c>
    </row>
    <row r="185" spans="1:10" hidden="1" x14ac:dyDescent="0.2">
      <c r="A185" s="6" t="s">
        <v>77</v>
      </c>
      <c r="B185" t="s">
        <v>14</v>
      </c>
      <c r="C185">
        <v>0</v>
      </c>
      <c r="D185" t="s">
        <v>203</v>
      </c>
      <c r="E185">
        <v>2.3125006460499999E-2</v>
      </c>
      <c r="F185">
        <v>0.58721446923683496</v>
      </c>
      <c r="G185">
        <v>3.9380852604933299E-2</v>
      </c>
      <c r="H185">
        <v>-1.1480373235544601</v>
      </c>
      <c r="I185">
        <v>1.19428733647546</v>
      </c>
      <c r="J185">
        <v>0.96869884726731503</v>
      </c>
    </row>
    <row r="186" spans="1:10" hidden="1" x14ac:dyDescent="0.2">
      <c r="A186" s="6" t="s">
        <v>77</v>
      </c>
      <c r="B186" t="s">
        <v>14</v>
      </c>
      <c r="C186">
        <v>0</v>
      </c>
      <c r="D186" t="s">
        <v>205</v>
      </c>
      <c r="E186">
        <v>-0.20329021280701301</v>
      </c>
      <c r="F186">
        <v>0.34488559548567899</v>
      </c>
      <c r="G186">
        <v>-0.58944245705806797</v>
      </c>
      <c r="H186">
        <v>-0.89114284375895703</v>
      </c>
      <c r="I186">
        <v>0.48456241814493001</v>
      </c>
      <c r="J186">
        <v>0.55746220983952999</v>
      </c>
    </row>
    <row r="187" spans="1:10" hidden="1" x14ac:dyDescent="0.2">
      <c r="A187" s="6" t="s">
        <v>77</v>
      </c>
      <c r="B187" t="s">
        <v>14</v>
      </c>
      <c r="C187">
        <v>1</v>
      </c>
      <c r="D187" t="s">
        <v>128</v>
      </c>
      <c r="E187">
        <v>-0.695621792060934</v>
      </c>
      <c r="F187">
        <v>0.34123448930834999</v>
      </c>
      <c r="G187">
        <v>-2.03854479502027</v>
      </c>
      <c r="H187">
        <v>-1.3935246845123901</v>
      </c>
      <c r="I187">
        <v>2.2811003905173202E-3</v>
      </c>
      <c r="J187">
        <v>5.07050424675854E-2</v>
      </c>
    </row>
    <row r="188" spans="1:10" hidden="1" x14ac:dyDescent="0.2">
      <c r="A188" s="6" t="s">
        <v>77</v>
      </c>
      <c r="B188" t="s">
        <v>14</v>
      </c>
      <c r="C188">
        <v>1</v>
      </c>
      <c r="D188" t="s">
        <v>203</v>
      </c>
      <c r="E188">
        <v>8.0357442993054407E-3</v>
      </c>
      <c r="F188">
        <v>0.28767005251396199</v>
      </c>
      <c r="G188">
        <v>2.7933892419738201E-2</v>
      </c>
      <c r="H188">
        <v>-0.58031557425612101</v>
      </c>
      <c r="I188">
        <v>0.59638706285473198</v>
      </c>
      <c r="J188">
        <v>0.97790622552720197</v>
      </c>
    </row>
    <row r="189" spans="1:10" hidden="1" x14ac:dyDescent="0.2">
      <c r="A189" s="6" t="s">
        <v>77</v>
      </c>
      <c r="B189" t="s">
        <v>14</v>
      </c>
      <c r="C189">
        <v>1</v>
      </c>
      <c r="D189" t="s">
        <v>205</v>
      </c>
      <c r="E189">
        <v>0.317357427789626</v>
      </c>
      <c r="F189">
        <v>0.22151104156055401</v>
      </c>
      <c r="G189">
        <v>1.4326934926305701</v>
      </c>
      <c r="H189">
        <v>-0.135683520469708</v>
      </c>
      <c r="I189">
        <v>0.770398376048959</v>
      </c>
      <c r="J189">
        <v>0.162637992932402</v>
      </c>
    </row>
    <row r="190" spans="1:10" hidden="1" x14ac:dyDescent="0.2">
      <c r="A190" s="6" t="s">
        <v>77</v>
      </c>
      <c r="B190" t="s">
        <v>7</v>
      </c>
      <c r="C190">
        <v>0</v>
      </c>
      <c r="D190" t="s">
        <v>128</v>
      </c>
      <c r="E190">
        <v>-0.46559426860643299</v>
      </c>
      <c r="F190">
        <v>0.62677191301569801</v>
      </c>
      <c r="G190">
        <v>-0.74284481952332204</v>
      </c>
      <c r="H190">
        <v>-1.7156514325407599</v>
      </c>
      <c r="I190">
        <v>0.78446289532789704</v>
      </c>
      <c r="J190">
        <v>0.46006137268297698</v>
      </c>
    </row>
    <row r="191" spans="1:10" hidden="1" x14ac:dyDescent="0.2">
      <c r="A191" s="6" t="s">
        <v>77</v>
      </c>
      <c r="B191" t="s">
        <v>7</v>
      </c>
      <c r="C191">
        <v>0</v>
      </c>
      <c r="D191" t="s">
        <v>203</v>
      </c>
      <c r="E191">
        <v>-0.18506531345466901</v>
      </c>
      <c r="F191">
        <v>0.48719633865200601</v>
      </c>
      <c r="G191">
        <v>-0.37985776733609</v>
      </c>
      <c r="H191">
        <v>-1.15674777198127</v>
      </c>
      <c r="I191">
        <v>0.78661714507193503</v>
      </c>
      <c r="J191">
        <v>0.70520106372869895</v>
      </c>
    </row>
    <row r="192" spans="1:10" hidden="1" x14ac:dyDescent="0.2">
      <c r="A192" s="6" t="s">
        <v>77</v>
      </c>
      <c r="B192" t="s">
        <v>7</v>
      </c>
      <c r="C192">
        <v>0</v>
      </c>
      <c r="D192" t="s">
        <v>205</v>
      </c>
      <c r="E192">
        <v>-0.19525787420452401</v>
      </c>
      <c r="F192">
        <v>0.286142471238513</v>
      </c>
      <c r="G192">
        <v>-0.68237991151536503</v>
      </c>
      <c r="H192">
        <v>-0.76595103809653398</v>
      </c>
      <c r="I192">
        <v>0.37543528968748502</v>
      </c>
      <c r="J192">
        <v>0.49725070515785502</v>
      </c>
    </row>
    <row r="193" spans="1:10" hidden="1" x14ac:dyDescent="0.2">
      <c r="A193" s="6" t="s">
        <v>77</v>
      </c>
      <c r="B193" t="s">
        <v>7</v>
      </c>
      <c r="C193">
        <v>1</v>
      </c>
      <c r="D193" t="s">
        <v>128</v>
      </c>
      <c r="E193">
        <v>-0.85146950361790497</v>
      </c>
      <c r="F193">
        <v>0.44924356932356302</v>
      </c>
      <c r="G193">
        <v>-1.89534043837285</v>
      </c>
      <c r="H193">
        <v>-1.77027576813595</v>
      </c>
      <c r="I193">
        <v>6.7336760900145301E-2</v>
      </c>
      <c r="J193">
        <v>6.8054604752386894E-2</v>
      </c>
    </row>
    <row r="194" spans="1:10" hidden="1" x14ac:dyDescent="0.2">
      <c r="A194" s="6" t="s">
        <v>77</v>
      </c>
      <c r="B194" t="s">
        <v>7</v>
      </c>
      <c r="C194">
        <v>1</v>
      </c>
      <c r="D194" t="s">
        <v>203</v>
      </c>
      <c r="E194">
        <v>9.3070739920138798E-2</v>
      </c>
      <c r="F194">
        <v>0.37872467534220899</v>
      </c>
      <c r="G194">
        <v>0.24574775814657901</v>
      </c>
      <c r="H194">
        <v>-0.68150819229683202</v>
      </c>
      <c r="I194">
        <v>0.86764967213710897</v>
      </c>
      <c r="J194">
        <v>0.80760845432368</v>
      </c>
    </row>
    <row r="195" spans="1:10" hidden="1" x14ac:dyDescent="0.2">
      <c r="A195" s="6" t="s">
        <v>77</v>
      </c>
      <c r="B195" t="s">
        <v>7</v>
      </c>
      <c r="C195">
        <v>1</v>
      </c>
      <c r="D195" t="s">
        <v>205</v>
      </c>
      <c r="E195">
        <v>0.120508642977041</v>
      </c>
      <c r="F195">
        <v>0.29162471576934001</v>
      </c>
      <c r="G195">
        <v>0.41323192603591702</v>
      </c>
      <c r="H195">
        <v>-0.475930870092937</v>
      </c>
      <c r="I195">
        <v>0.716948156047019</v>
      </c>
      <c r="J195">
        <v>0.68247642199418901</v>
      </c>
    </row>
    <row r="196" spans="1:10" hidden="1" x14ac:dyDescent="0.2">
      <c r="A196" s="6" t="s">
        <v>77</v>
      </c>
      <c r="B196" t="s">
        <v>21</v>
      </c>
      <c r="C196">
        <v>0</v>
      </c>
      <c r="D196" t="s">
        <v>128</v>
      </c>
      <c r="E196">
        <v>-0.44817789565836702</v>
      </c>
      <c r="F196">
        <v>0.84291398269850404</v>
      </c>
      <c r="G196">
        <v>-0.53170063002581802</v>
      </c>
      <c r="H196">
        <v>-2.1293168247831198</v>
      </c>
      <c r="I196">
        <v>1.2329610334663901</v>
      </c>
      <c r="J196">
        <v>0.59661675388429702</v>
      </c>
    </row>
    <row r="197" spans="1:10" hidden="1" x14ac:dyDescent="0.2">
      <c r="A197" s="6" t="s">
        <v>77</v>
      </c>
      <c r="B197" t="s">
        <v>21</v>
      </c>
      <c r="C197">
        <v>0</v>
      </c>
      <c r="D197" t="s">
        <v>203</v>
      </c>
      <c r="E197">
        <v>1.4194712713143799E-2</v>
      </c>
      <c r="F197">
        <v>0.65520582151390405</v>
      </c>
      <c r="G197">
        <v>2.1664509451924299E-2</v>
      </c>
      <c r="H197">
        <v>-1.2925720935627201</v>
      </c>
      <c r="I197">
        <v>1.320961518989</v>
      </c>
      <c r="J197">
        <v>0.98277721161934095</v>
      </c>
    </row>
    <row r="198" spans="1:10" hidden="1" x14ac:dyDescent="0.2">
      <c r="A198" s="6" t="s">
        <v>77</v>
      </c>
      <c r="B198" t="s">
        <v>21</v>
      </c>
      <c r="C198">
        <v>0</v>
      </c>
      <c r="D198" t="s">
        <v>205</v>
      </c>
      <c r="E198">
        <v>-0.174234721035706</v>
      </c>
      <c r="F198">
        <v>0.38481859994387801</v>
      </c>
      <c r="G198">
        <v>-0.45277104864763901</v>
      </c>
      <c r="H198">
        <v>-0.94173121806360605</v>
      </c>
      <c r="I198">
        <v>0.59326177599219398</v>
      </c>
      <c r="J198">
        <v>0.65211384192960598</v>
      </c>
    </row>
    <row r="199" spans="1:10" hidden="1" x14ac:dyDescent="0.2">
      <c r="A199" s="6" t="s">
        <v>77</v>
      </c>
      <c r="B199" t="s">
        <v>21</v>
      </c>
      <c r="C199">
        <v>1</v>
      </c>
      <c r="D199" t="s">
        <v>128</v>
      </c>
      <c r="E199">
        <v>0.36735359799960599</v>
      </c>
      <c r="F199">
        <v>0.50894215670393195</v>
      </c>
      <c r="G199">
        <v>0.72179832847548397</v>
      </c>
      <c r="H199">
        <v>-0.67354998702222402</v>
      </c>
      <c r="I199">
        <v>1.4082571830214401</v>
      </c>
      <c r="J199">
        <v>0.47619850775868999</v>
      </c>
    </row>
    <row r="200" spans="1:10" hidden="1" x14ac:dyDescent="0.2">
      <c r="A200" s="6" t="s">
        <v>77</v>
      </c>
      <c r="B200" t="s">
        <v>21</v>
      </c>
      <c r="C200">
        <v>1</v>
      </c>
      <c r="D200" t="s">
        <v>203</v>
      </c>
      <c r="E200">
        <v>-0.27511472876041698</v>
      </c>
      <c r="F200">
        <v>0.42905222517906499</v>
      </c>
      <c r="G200">
        <v>-0.64121501443232798</v>
      </c>
      <c r="H200">
        <v>-1.15262505771964</v>
      </c>
      <c r="I200">
        <v>0.60239560019880301</v>
      </c>
      <c r="J200">
        <v>0.52641857657453195</v>
      </c>
    </row>
    <row r="201" spans="1:10" hidden="1" x14ac:dyDescent="0.2">
      <c r="A201" s="6" t="s">
        <v>77</v>
      </c>
      <c r="B201" t="s">
        <v>21</v>
      </c>
      <c r="C201">
        <v>1</v>
      </c>
      <c r="D201" t="s">
        <v>205</v>
      </c>
      <c r="E201">
        <v>0.10275559073335</v>
      </c>
      <c r="F201">
        <v>0.33037782157972501</v>
      </c>
      <c r="G201">
        <v>0.31102448173432601</v>
      </c>
      <c r="H201">
        <v>-0.57294292306473305</v>
      </c>
      <c r="I201">
        <v>0.77845410453143304</v>
      </c>
      <c r="J201">
        <v>0.758006734566541</v>
      </c>
    </row>
    <row r="202" spans="1:10" hidden="1" x14ac:dyDescent="0.2">
      <c r="A202" s="6" t="s">
        <v>77</v>
      </c>
      <c r="B202" t="s">
        <v>11</v>
      </c>
      <c r="C202">
        <v>0</v>
      </c>
      <c r="D202" t="s">
        <v>128</v>
      </c>
      <c r="E202">
        <v>-6.6060462686268195E-2</v>
      </c>
      <c r="F202">
        <v>0.78255836794513001</v>
      </c>
      <c r="G202">
        <v>-8.4416019804033501E-2</v>
      </c>
      <c r="H202">
        <v>-1.62682391384313</v>
      </c>
      <c r="I202">
        <v>1.49470298847059</v>
      </c>
      <c r="J202">
        <v>0.93296663337336405</v>
      </c>
    </row>
    <row r="203" spans="1:10" hidden="1" x14ac:dyDescent="0.2">
      <c r="A203" s="6" t="s">
        <v>77</v>
      </c>
      <c r="B203" t="s">
        <v>11</v>
      </c>
      <c r="C203">
        <v>0</v>
      </c>
      <c r="D203" t="s">
        <v>203</v>
      </c>
      <c r="E203">
        <v>0.150484367219787</v>
      </c>
      <c r="F203">
        <v>0.608290773289338</v>
      </c>
      <c r="G203">
        <v>0.247388870302998</v>
      </c>
      <c r="H203">
        <v>-1.06271332577646</v>
      </c>
      <c r="I203">
        <v>1.36368206021604</v>
      </c>
      <c r="J203">
        <v>0.80533146384966703</v>
      </c>
    </row>
    <row r="204" spans="1:10" hidden="1" x14ac:dyDescent="0.2">
      <c r="A204" s="6" t="s">
        <v>77</v>
      </c>
      <c r="B204" t="s">
        <v>11</v>
      </c>
      <c r="C204">
        <v>0</v>
      </c>
      <c r="D204" t="s">
        <v>205</v>
      </c>
      <c r="E204">
        <v>-9.38862840713032E-2</v>
      </c>
      <c r="F204">
        <v>0.357264230643004</v>
      </c>
      <c r="G204">
        <v>-0.262792286544687</v>
      </c>
      <c r="H204">
        <v>-0.80642732437409004</v>
      </c>
      <c r="I204">
        <v>0.61865475623148403</v>
      </c>
      <c r="J204">
        <v>0.79348259682627797</v>
      </c>
    </row>
    <row r="205" spans="1:10" hidden="1" x14ac:dyDescent="0.2">
      <c r="A205" s="6" t="s">
        <v>77</v>
      </c>
      <c r="B205" t="s">
        <v>11</v>
      </c>
      <c r="C205">
        <v>1</v>
      </c>
      <c r="D205" t="s">
        <v>128</v>
      </c>
      <c r="E205">
        <v>-1.1026388555881901</v>
      </c>
      <c r="F205">
        <v>0.35247187556918602</v>
      </c>
      <c r="G205">
        <v>-3.1283030846294002</v>
      </c>
      <c r="H205">
        <v>-1.8235247835204</v>
      </c>
      <c r="I205">
        <v>-0.38175292765598501</v>
      </c>
      <c r="J205">
        <v>3.9825433054113896E-3</v>
      </c>
    </row>
    <row r="206" spans="1:10" hidden="1" x14ac:dyDescent="0.2">
      <c r="A206" s="6" t="s">
        <v>77</v>
      </c>
      <c r="B206" t="s">
        <v>11</v>
      </c>
      <c r="C206">
        <v>1</v>
      </c>
      <c r="D206" t="s">
        <v>203</v>
      </c>
      <c r="E206">
        <v>0.413566920627778</v>
      </c>
      <c r="F206">
        <v>0.29714347796496698</v>
      </c>
      <c r="G206">
        <v>1.39180884419929</v>
      </c>
      <c r="H206">
        <v>-0.19415972847257901</v>
      </c>
      <c r="I206">
        <v>1.02129356972813</v>
      </c>
      <c r="J206">
        <v>0.174564091831267</v>
      </c>
    </row>
    <row r="207" spans="1:10" hidden="1" x14ac:dyDescent="0.2">
      <c r="A207" s="6" t="s">
        <v>77</v>
      </c>
      <c r="B207" t="s">
        <v>11</v>
      </c>
      <c r="C207">
        <v>1</v>
      </c>
      <c r="D207" t="s">
        <v>205</v>
      </c>
      <c r="E207">
        <v>-0.39365820076762398</v>
      </c>
      <c r="F207">
        <v>0.228805747145858</v>
      </c>
      <c r="G207">
        <v>-1.72049087786539</v>
      </c>
      <c r="H207">
        <v>-0.86161849712065297</v>
      </c>
      <c r="I207">
        <v>7.4302095585405403E-2</v>
      </c>
      <c r="J207">
        <v>9.5998574202620104E-2</v>
      </c>
    </row>
    <row r="208" spans="1:10" hidden="1" x14ac:dyDescent="0.2">
      <c r="A208" s="6" t="s">
        <v>77</v>
      </c>
      <c r="B208" t="s">
        <v>13</v>
      </c>
      <c r="C208">
        <v>0</v>
      </c>
      <c r="D208" t="s">
        <v>128</v>
      </c>
      <c r="E208">
        <v>0.16733817696088901</v>
      </c>
      <c r="F208">
        <v>0.75855645454166698</v>
      </c>
      <c r="G208">
        <v>0.220600821414139</v>
      </c>
      <c r="H208">
        <v>-1.34555496735058</v>
      </c>
      <c r="I208">
        <v>1.6802313212723601</v>
      </c>
      <c r="J208">
        <v>0.82604541787124497</v>
      </c>
    </row>
    <row r="209" spans="1:10" hidden="1" x14ac:dyDescent="0.2">
      <c r="A209" s="6" t="s">
        <v>77</v>
      </c>
      <c r="B209" t="s">
        <v>13</v>
      </c>
      <c r="C209">
        <v>0</v>
      </c>
      <c r="D209" t="s">
        <v>203</v>
      </c>
      <c r="E209">
        <v>0.103178905286676</v>
      </c>
      <c r="F209">
        <v>0.58963383591231699</v>
      </c>
      <c r="G209">
        <v>0.17498810109333501</v>
      </c>
      <c r="H209">
        <v>-1.0728086994128501</v>
      </c>
      <c r="I209">
        <v>1.2791665099862</v>
      </c>
      <c r="J209">
        <v>0.86159414858689198</v>
      </c>
    </row>
    <row r="210" spans="1:10" hidden="1" x14ac:dyDescent="0.2">
      <c r="A210" s="6" t="s">
        <v>77</v>
      </c>
      <c r="B210" t="s">
        <v>13</v>
      </c>
      <c r="C210">
        <v>0</v>
      </c>
      <c r="D210" t="s">
        <v>205</v>
      </c>
      <c r="E210">
        <v>-7.3521134618462797E-2</v>
      </c>
      <c r="F210">
        <v>0.34630654943059203</v>
      </c>
      <c r="G210">
        <v>-0.21230073395766999</v>
      </c>
      <c r="H210">
        <v>-0.76420776885225805</v>
      </c>
      <c r="I210">
        <v>0.61716549961533196</v>
      </c>
      <c r="J210">
        <v>0.83248941134822796</v>
      </c>
    </row>
    <row r="211" spans="1:10" hidden="1" x14ac:dyDescent="0.2">
      <c r="A211" s="6" t="s">
        <v>77</v>
      </c>
      <c r="B211" t="s">
        <v>13</v>
      </c>
      <c r="C211">
        <v>1</v>
      </c>
      <c r="D211" t="s">
        <v>128</v>
      </c>
      <c r="E211">
        <v>-0.77337239105979305</v>
      </c>
      <c r="F211">
        <v>0.415102079472847</v>
      </c>
      <c r="G211">
        <v>-1.86308965746914</v>
      </c>
      <c r="H211">
        <v>-1.62235146850859</v>
      </c>
      <c r="I211">
        <v>7.5606686388999506E-2</v>
      </c>
      <c r="J211">
        <v>7.2606569230365806E-2</v>
      </c>
    </row>
    <row r="212" spans="1:10" hidden="1" x14ac:dyDescent="0.2">
      <c r="A212" s="6" t="s">
        <v>77</v>
      </c>
      <c r="B212" t="s">
        <v>13</v>
      </c>
      <c r="C212">
        <v>1</v>
      </c>
      <c r="D212" t="s">
        <v>203</v>
      </c>
      <c r="E212">
        <v>-5.40739201312498E-2</v>
      </c>
      <c r="F212">
        <v>0.34994246109954102</v>
      </c>
      <c r="G212">
        <v>-0.154522317644296</v>
      </c>
      <c r="H212">
        <v>-0.76978661461290199</v>
      </c>
      <c r="I212">
        <v>0.66163877435040197</v>
      </c>
      <c r="J212">
        <v>0.87826832511277297</v>
      </c>
    </row>
    <row r="213" spans="1:10" hidden="1" x14ac:dyDescent="0.2">
      <c r="A213" s="6" t="s">
        <v>77</v>
      </c>
      <c r="B213" t="s">
        <v>13</v>
      </c>
      <c r="C213">
        <v>1</v>
      </c>
      <c r="D213" t="s">
        <v>205</v>
      </c>
      <c r="E213">
        <v>0.19931275277779101</v>
      </c>
      <c r="F213">
        <v>0.26946190042031098</v>
      </c>
      <c r="G213">
        <v>0.73966951345217902</v>
      </c>
      <c r="H213">
        <v>-0.35179871338724</v>
      </c>
      <c r="I213">
        <v>0.75042421894282096</v>
      </c>
      <c r="J213">
        <v>0.46544649347163403</v>
      </c>
    </row>
    <row r="214" spans="1:10" hidden="1" x14ac:dyDescent="0.2">
      <c r="A214" s="6" t="s">
        <v>77</v>
      </c>
      <c r="B214" t="s">
        <v>17</v>
      </c>
      <c r="C214">
        <v>0</v>
      </c>
      <c r="D214" t="s">
        <v>128</v>
      </c>
      <c r="E214">
        <v>-0.68564318688156001</v>
      </c>
      <c r="F214">
        <v>0.91980775750852495</v>
      </c>
      <c r="G214">
        <v>-0.74542009597609304</v>
      </c>
      <c r="H214">
        <v>-2.5201419141515902</v>
      </c>
      <c r="I214">
        <v>1.1488555403884799</v>
      </c>
      <c r="J214">
        <v>0.45851350668025098</v>
      </c>
    </row>
    <row r="215" spans="1:10" hidden="1" x14ac:dyDescent="0.2">
      <c r="A215" s="6" t="s">
        <v>77</v>
      </c>
      <c r="B215" t="s">
        <v>17</v>
      </c>
      <c r="C215">
        <v>0</v>
      </c>
      <c r="D215" t="s">
        <v>203</v>
      </c>
      <c r="E215">
        <v>-7.43965462168934E-2</v>
      </c>
      <c r="F215">
        <v>0.71497615387025504</v>
      </c>
      <c r="G215">
        <v>-0.10405458393846501</v>
      </c>
      <c r="H215">
        <v>-1.50037152152716</v>
      </c>
      <c r="I215">
        <v>1.3515784290933699</v>
      </c>
      <c r="J215">
        <v>0.91742359113576</v>
      </c>
    </row>
    <row r="216" spans="1:10" hidden="1" x14ac:dyDescent="0.2">
      <c r="A216" s="6" t="s">
        <v>77</v>
      </c>
      <c r="B216" t="s">
        <v>17</v>
      </c>
      <c r="C216">
        <v>0</v>
      </c>
      <c r="D216" t="s">
        <v>205</v>
      </c>
      <c r="E216">
        <v>-0.18891389521729901</v>
      </c>
      <c r="F216">
        <v>0.41992319587436999</v>
      </c>
      <c r="G216">
        <v>-0.44987725630145298</v>
      </c>
      <c r="H216">
        <v>-1.0264243011626999</v>
      </c>
      <c r="I216">
        <v>0.64859651072810498</v>
      </c>
      <c r="J216">
        <v>0.65418903302568499</v>
      </c>
    </row>
    <row r="217" spans="1:10" hidden="1" x14ac:dyDescent="0.2">
      <c r="A217" s="6" t="s">
        <v>77</v>
      </c>
      <c r="B217" t="s">
        <v>17</v>
      </c>
      <c r="C217">
        <v>1</v>
      </c>
      <c r="D217" t="s">
        <v>128</v>
      </c>
      <c r="E217">
        <v>0.21942808948581799</v>
      </c>
      <c r="F217">
        <v>0.35528455762140798</v>
      </c>
      <c r="G217">
        <v>0.61761223441532298</v>
      </c>
      <c r="H217">
        <v>-0.50721041915349196</v>
      </c>
      <c r="I217">
        <v>0.94606659812512695</v>
      </c>
      <c r="J217">
        <v>0.54165085213110198</v>
      </c>
    </row>
    <row r="218" spans="1:10" hidden="1" x14ac:dyDescent="0.2">
      <c r="A218" s="6" t="s">
        <v>77</v>
      </c>
      <c r="B218" t="s">
        <v>17</v>
      </c>
      <c r="C218">
        <v>1</v>
      </c>
      <c r="D218" t="s">
        <v>203</v>
      </c>
      <c r="E218">
        <v>-0.20477367435902799</v>
      </c>
      <c r="F218">
        <v>0.29951464623493901</v>
      </c>
      <c r="G218">
        <v>-0.68368501151160299</v>
      </c>
      <c r="H218">
        <v>-0.81734990709161504</v>
      </c>
      <c r="I218">
        <v>0.407802558373559</v>
      </c>
      <c r="J218">
        <v>0.49960089147805298</v>
      </c>
    </row>
    <row r="219" spans="1:10" hidden="1" x14ac:dyDescent="0.2">
      <c r="A219" s="6" t="s">
        <v>77</v>
      </c>
      <c r="B219" t="s">
        <v>17</v>
      </c>
      <c r="C219">
        <v>1</v>
      </c>
      <c r="D219" t="s">
        <v>205</v>
      </c>
      <c r="E219">
        <v>7.5348593709631997E-2</v>
      </c>
      <c r="F219">
        <v>0.23063158876060599</v>
      </c>
      <c r="G219">
        <v>0.32670543577550998</v>
      </c>
      <c r="H219">
        <v>-0.39634596803571898</v>
      </c>
      <c r="I219">
        <v>0.54704315545498305</v>
      </c>
      <c r="J219">
        <v>0.74623703175383205</v>
      </c>
    </row>
    <row r="220" spans="1:10" hidden="1" x14ac:dyDescent="0.2">
      <c r="A220" s="6" t="s">
        <v>77</v>
      </c>
      <c r="B220" t="s">
        <v>26</v>
      </c>
      <c r="C220">
        <v>0</v>
      </c>
      <c r="D220" t="s">
        <v>128</v>
      </c>
      <c r="E220">
        <v>-0.48447898452219501</v>
      </c>
      <c r="F220">
        <v>0.92063622168095705</v>
      </c>
      <c r="G220">
        <v>-0.52624367053210497</v>
      </c>
      <c r="H220">
        <v>-2.3206300314835002</v>
      </c>
      <c r="I220">
        <v>1.3516720624391101</v>
      </c>
      <c r="J220">
        <v>0.60038235180523503</v>
      </c>
    </row>
    <row r="221" spans="1:10" hidden="1" x14ac:dyDescent="0.2">
      <c r="A221" s="6" t="s">
        <v>77</v>
      </c>
      <c r="B221" t="s">
        <v>26</v>
      </c>
      <c r="C221">
        <v>0</v>
      </c>
      <c r="D221" t="s">
        <v>203</v>
      </c>
      <c r="E221">
        <v>-6.7807577844301997E-2</v>
      </c>
      <c r="F221">
        <v>0.71562012770368799</v>
      </c>
      <c r="G221">
        <v>-9.4753592331011993E-2</v>
      </c>
      <c r="H221">
        <v>-1.49506691846697</v>
      </c>
      <c r="I221">
        <v>1.35945176277837</v>
      </c>
      <c r="J221">
        <v>0.92478126571431896</v>
      </c>
    </row>
    <row r="222" spans="1:10" hidden="1" x14ac:dyDescent="0.2">
      <c r="A222" s="6" t="s">
        <v>77</v>
      </c>
      <c r="B222" t="s">
        <v>26</v>
      </c>
      <c r="C222">
        <v>0</v>
      </c>
      <c r="D222" t="s">
        <v>205</v>
      </c>
      <c r="E222">
        <v>-5.9657456839733503E-2</v>
      </c>
      <c r="F222">
        <v>0.42030141764964202</v>
      </c>
      <c r="G222">
        <v>-0.141939699307565</v>
      </c>
      <c r="H222">
        <v>-0.89792220233022102</v>
      </c>
      <c r="I222">
        <v>0.77860728865075401</v>
      </c>
      <c r="J222">
        <v>0.88753536657183496</v>
      </c>
    </row>
    <row r="223" spans="1:10" hidden="1" x14ac:dyDescent="0.2">
      <c r="A223" s="6" t="s">
        <v>77</v>
      </c>
      <c r="B223" t="s">
        <v>26</v>
      </c>
      <c r="C223">
        <v>1</v>
      </c>
      <c r="D223" t="s">
        <v>128</v>
      </c>
      <c r="E223">
        <v>7.89995188343907E-2</v>
      </c>
      <c r="F223">
        <v>0.446984450964379</v>
      </c>
      <c r="G223">
        <v>0.17673885224407099</v>
      </c>
      <c r="H223">
        <v>-0.83518632985037</v>
      </c>
      <c r="I223">
        <v>0.99318536751915198</v>
      </c>
      <c r="J223">
        <v>0.86094207262179701</v>
      </c>
    </row>
    <row r="224" spans="1:10" hidden="1" x14ac:dyDescent="0.2">
      <c r="A224" s="6" t="s">
        <v>77</v>
      </c>
      <c r="B224" t="s">
        <v>26</v>
      </c>
      <c r="C224">
        <v>1</v>
      </c>
      <c r="D224" t="s">
        <v>203</v>
      </c>
      <c r="E224">
        <v>-0.21526273700763901</v>
      </c>
      <c r="F224">
        <v>0.37682017647886501</v>
      </c>
      <c r="G224">
        <v>-0.57126117560669698</v>
      </c>
      <c r="H224">
        <v>-0.98594653169588897</v>
      </c>
      <c r="I224">
        <v>0.55542105768061101</v>
      </c>
      <c r="J224">
        <v>0.57222369900586401</v>
      </c>
    </row>
    <row r="225" spans="1:10" hidden="1" x14ac:dyDescent="0.2">
      <c r="A225" s="6" t="s">
        <v>77</v>
      </c>
      <c r="B225" t="s">
        <v>26</v>
      </c>
      <c r="C225">
        <v>1</v>
      </c>
      <c r="D225" t="s">
        <v>205</v>
      </c>
      <c r="E225">
        <v>0.18690714189447699</v>
      </c>
      <c r="F225">
        <v>0.290158217872935</v>
      </c>
      <c r="G225">
        <v>0.64415594796741904</v>
      </c>
      <c r="H225">
        <v>-0.40653304620764902</v>
      </c>
      <c r="I225">
        <v>0.78034732999660295</v>
      </c>
      <c r="J225">
        <v>0.52453686850958503</v>
      </c>
    </row>
    <row r="226" spans="1:10" hidden="1" x14ac:dyDescent="0.2">
      <c r="A226" s="6" t="s">
        <v>77</v>
      </c>
      <c r="B226" t="s">
        <v>9</v>
      </c>
      <c r="C226">
        <v>0</v>
      </c>
      <c r="D226" t="s">
        <v>128</v>
      </c>
      <c r="E226">
        <v>-4.6587080338033098E-2</v>
      </c>
      <c r="F226">
        <v>0.66842928058932805</v>
      </c>
      <c r="G226">
        <v>-6.9696348874721897E-2</v>
      </c>
      <c r="H226">
        <v>-1.3797272441399</v>
      </c>
      <c r="I226">
        <v>1.2865530834638399</v>
      </c>
      <c r="J226">
        <v>0.94463407139427202</v>
      </c>
    </row>
    <row r="227" spans="1:10" hidden="1" x14ac:dyDescent="0.2">
      <c r="A227" s="6" t="s">
        <v>77</v>
      </c>
      <c r="B227" t="s">
        <v>9</v>
      </c>
      <c r="C227">
        <v>0</v>
      </c>
      <c r="D227" t="s">
        <v>203</v>
      </c>
      <c r="E227">
        <v>0.111745064654795</v>
      </c>
      <c r="F227">
        <v>0.51957704451692399</v>
      </c>
      <c r="G227">
        <v>0.21506928728671901</v>
      </c>
      <c r="H227">
        <v>-0.924518675354148</v>
      </c>
      <c r="I227">
        <v>1.14800880466374</v>
      </c>
      <c r="J227">
        <v>0.83033866976037596</v>
      </c>
    </row>
    <row r="228" spans="1:10" hidden="1" x14ac:dyDescent="0.2">
      <c r="A228" s="6" t="s">
        <v>77</v>
      </c>
      <c r="B228" t="s">
        <v>9</v>
      </c>
      <c r="C228">
        <v>0</v>
      </c>
      <c r="D228" t="s">
        <v>205</v>
      </c>
      <c r="E228">
        <v>0.13305123471358801</v>
      </c>
      <c r="F228">
        <v>0.30516046144400399</v>
      </c>
      <c r="G228">
        <v>0.43600417329294799</v>
      </c>
      <c r="H228">
        <v>-0.47557211463555399</v>
      </c>
      <c r="I228">
        <v>0.74167458406272901</v>
      </c>
      <c r="J228">
        <v>0.66417540049587898</v>
      </c>
    </row>
    <row r="229" spans="1:10" hidden="1" x14ac:dyDescent="0.2">
      <c r="A229" s="6" t="s">
        <v>77</v>
      </c>
      <c r="B229" t="s">
        <v>9</v>
      </c>
      <c r="C229">
        <v>1</v>
      </c>
      <c r="D229" t="s">
        <v>128</v>
      </c>
      <c r="E229">
        <v>-0.93050085509925295</v>
      </c>
      <c r="F229">
        <v>0.26737673022789499</v>
      </c>
      <c r="G229">
        <v>-3.4801115800397202</v>
      </c>
      <c r="H229">
        <v>-1.47734766937786</v>
      </c>
      <c r="I229">
        <v>-0.38365404082064403</v>
      </c>
      <c r="J229">
        <v>1.60618708327216E-3</v>
      </c>
    </row>
    <row r="230" spans="1:10" hidden="1" x14ac:dyDescent="0.2">
      <c r="A230" s="6" t="s">
        <v>77</v>
      </c>
      <c r="B230" t="s">
        <v>9</v>
      </c>
      <c r="C230">
        <v>1</v>
      </c>
      <c r="D230" t="s">
        <v>203</v>
      </c>
      <c r="E230">
        <v>0.185503202898611</v>
      </c>
      <c r="F230">
        <v>0.225405931802415</v>
      </c>
      <c r="G230">
        <v>0.822973918278327</v>
      </c>
      <c r="H230">
        <v>-0.27550369033623201</v>
      </c>
      <c r="I230">
        <v>0.646510096133454</v>
      </c>
      <c r="J230">
        <v>0.41723912717587402</v>
      </c>
    </row>
    <row r="231" spans="1:10" hidden="1" x14ac:dyDescent="0.2">
      <c r="A231" s="6" t="s">
        <v>77</v>
      </c>
      <c r="B231" t="s">
        <v>9</v>
      </c>
      <c r="C231">
        <v>1</v>
      </c>
      <c r="D231" t="s">
        <v>205</v>
      </c>
      <c r="E231">
        <v>-4.2734713161990998E-2</v>
      </c>
      <c r="F231">
        <v>0.17356656451076599</v>
      </c>
      <c r="G231">
        <v>-0.24621512376215801</v>
      </c>
      <c r="H231">
        <v>-0.39771819578254802</v>
      </c>
      <c r="I231">
        <v>0.312248769458566</v>
      </c>
      <c r="J231">
        <v>0.80725013037690396</v>
      </c>
    </row>
    <row r="232" spans="1:10" hidden="1" x14ac:dyDescent="0.2">
      <c r="A232" s="40" t="s">
        <v>78</v>
      </c>
      <c r="B232" t="s">
        <v>18</v>
      </c>
      <c r="C232">
        <v>0</v>
      </c>
      <c r="D232" t="s">
        <v>81</v>
      </c>
      <c r="E232">
        <v>0.21452924634430101</v>
      </c>
      <c r="F232">
        <v>0.29799588938190102</v>
      </c>
      <c r="G232">
        <v>0.71990673022125995</v>
      </c>
      <c r="H232">
        <v>-0.37980481459422299</v>
      </c>
      <c r="I232">
        <v>0.80886330728282496</v>
      </c>
      <c r="J232">
        <v>0.47397935218097698</v>
      </c>
    </row>
    <row r="233" spans="1:10" hidden="1" x14ac:dyDescent="0.2">
      <c r="A233" s="40" t="s">
        <v>78</v>
      </c>
      <c r="B233" t="s">
        <v>18</v>
      </c>
      <c r="C233">
        <v>0</v>
      </c>
      <c r="D233" t="s">
        <v>80</v>
      </c>
      <c r="E233">
        <v>9.3885350541805801E-2</v>
      </c>
      <c r="F233">
        <v>0.38941715935138399</v>
      </c>
      <c r="G233">
        <v>0.24109197113497</v>
      </c>
      <c r="H233">
        <v>-0.68278268402910902</v>
      </c>
      <c r="I233">
        <v>0.87055338511271996</v>
      </c>
      <c r="J233">
        <v>0.81018862034195704</v>
      </c>
    </row>
    <row r="234" spans="1:10" hidden="1" x14ac:dyDescent="0.2">
      <c r="A234" s="40" t="s">
        <v>78</v>
      </c>
      <c r="B234" t="s">
        <v>18</v>
      </c>
      <c r="C234">
        <v>0</v>
      </c>
      <c r="D234" t="s">
        <v>79</v>
      </c>
      <c r="E234">
        <v>-0.34886535630434901</v>
      </c>
      <c r="F234">
        <v>1.1464130762120399</v>
      </c>
      <c r="G234">
        <v>-0.30431034288012898</v>
      </c>
      <c r="H234">
        <v>-2.6353141409214</v>
      </c>
      <c r="I234">
        <v>1.93758342831271</v>
      </c>
      <c r="J234">
        <v>0.76179429689179101</v>
      </c>
    </row>
    <row r="235" spans="1:10" hidden="1" x14ac:dyDescent="0.2">
      <c r="A235" s="40" t="s">
        <v>78</v>
      </c>
      <c r="B235" t="s">
        <v>18</v>
      </c>
      <c r="C235">
        <v>1</v>
      </c>
      <c r="D235" t="s">
        <v>81</v>
      </c>
      <c r="E235">
        <v>-0.27806979593749898</v>
      </c>
      <c r="F235">
        <v>0.390497452531338</v>
      </c>
      <c r="G235">
        <v>-0.71209119069780402</v>
      </c>
      <c r="H235">
        <v>-1.0767267610319</v>
      </c>
      <c r="I235">
        <v>0.52058716915690095</v>
      </c>
      <c r="J235">
        <v>0.48209826340795903</v>
      </c>
    </row>
    <row r="236" spans="1:10" hidden="1" x14ac:dyDescent="0.2">
      <c r="A236" s="40" t="s">
        <v>78</v>
      </c>
      <c r="B236" t="s">
        <v>18</v>
      </c>
      <c r="C236">
        <v>1</v>
      </c>
      <c r="D236" t="s">
        <v>80</v>
      </c>
      <c r="E236">
        <v>-0.87875076600000002</v>
      </c>
      <c r="F236">
        <v>0.413781208983383</v>
      </c>
      <c r="G236">
        <v>-2.12370873041576</v>
      </c>
      <c r="H236">
        <v>-1.72502835997032</v>
      </c>
      <c r="I236">
        <v>-3.24731720296784E-2</v>
      </c>
      <c r="J236">
        <v>4.2347992857110703E-2</v>
      </c>
    </row>
    <row r="237" spans="1:10" hidden="1" x14ac:dyDescent="0.2">
      <c r="A237" s="40" t="s">
        <v>78</v>
      </c>
      <c r="B237" t="s">
        <v>18</v>
      </c>
      <c r="C237">
        <v>1</v>
      </c>
      <c r="D237" t="s">
        <v>79</v>
      </c>
      <c r="E237">
        <v>-1.1953314196</v>
      </c>
      <c r="F237">
        <v>0.45327460406391601</v>
      </c>
      <c r="G237">
        <v>-2.6371021206196801</v>
      </c>
      <c r="H237">
        <v>-2.1223820758574901</v>
      </c>
      <c r="I237">
        <v>-0.26828076334251399</v>
      </c>
      <c r="J237">
        <v>1.3298002311296899E-2</v>
      </c>
    </row>
    <row r="238" spans="1:10" hidden="1" x14ac:dyDescent="0.2">
      <c r="A238" s="40" t="s">
        <v>78</v>
      </c>
      <c r="B238" t="s">
        <v>25</v>
      </c>
      <c r="C238">
        <v>0</v>
      </c>
      <c r="D238" t="s">
        <v>81</v>
      </c>
      <c r="E238">
        <v>-6.4894825240894996E-3</v>
      </c>
      <c r="F238">
        <v>0.30396721877157101</v>
      </c>
      <c r="G238">
        <v>-2.1349284144242801E-2</v>
      </c>
      <c r="H238">
        <v>-0.61273298440398305</v>
      </c>
      <c r="I238">
        <v>0.59975401935580397</v>
      </c>
      <c r="J238">
        <v>0.983027769612971</v>
      </c>
    </row>
    <row r="239" spans="1:10" hidden="1" x14ac:dyDescent="0.2">
      <c r="A239" s="40" t="s">
        <v>78</v>
      </c>
      <c r="B239" t="s">
        <v>25</v>
      </c>
      <c r="C239">
        <v>0</v>
      </c>
      <c r="D239" t="s">
        <v>80</v>
      </c>
      <c r="E239">
        <v>-2.3273876341137398E-2</v>
      </c>
      <c r="F239">
        <v>0.39722041507179101</v>
      </c>
      <c r="G239">
        <v>-5.8591843364674601E-2</v>
      </c>
      <c r="H239">
        <v>-0.81550501371347195</v>
      </c>
      <c r="I239">
        <v>0.76895726103119699</v>
      </c>
      <c r="J239">
        <v>0.95344415138205196</v>
      </c>
    </row>
    <row r="240" spans="1:10" hidden="1" x14ac:dyDescent="0.2">
      <c r="A240" s="40" t="s">
        <v>78</v>
      </c>
      <c r="B240" t="s">
        <v>25</v>
      </c>
      <c r="C240">
        <v>0</v>
      </c>
      <c r="D240" t="s">
        <v>79</v>
      </c>
      <c r="E240">
        <v>-0.391274176956522</v>
      </c>
      <c r="F240">
        <v>1.1693852390458499</v>
      </c>
      <c r="G240">
        <v>-0.33459818363688199</v>
      </c>
      <c r="H240">
        <v>-2.7235394956669801</v>
      </c>
      <c r="I240">
        <v>1.9409911417539401</v>
      </c>
      <c r="J240">
        <v>0.73892872613437099</v>
      </c>
    </row>
    <row r="241" spans="1:10" hidden="1" x14ac:dyDescent="0.2">
      <c r="A241" s="40" t="s">
        <v>78</v>
      </c>
      <c r="B241" t="s">
        <v>25</v>
      </c>
      <c r="C241">
        <v>1</v>
      </c>
      <c r="D241" t="s">
        <v>81</v>
      </c>
      <c r="E241">
        <v>-0.54787047122916599</v>
      </c>
      <c r="F241">
        <v>0.54586106770425302</v>
      </c>
      <c r="G241">
        <v>-1.00368116292551</v>
      </c>
      <c r="H241">
        <v>-1.6642817073841101</v>
      </c>
      <c r="I241">
        <v>0.56854076492577899</v>
      </c>
      <c r="J241">
        <v>0.32383402174611298</v>
      </c>
    </row>
    <row r="242" spans="1:10" hidden="1" x14ac:dyDescent="0.2">
      <c r="A242" s="40" t="s">
        <v>78</v>
      </c>
      <c r="B242" t="s">
        <v>25</v>
      </c>
      <c r="C242">
        <v>1</v>
      </c>
      <c r="D242" t="s">
        <v>80</v>
      </c>
      <c r="E242">
        <v>-0.99040848388888802</v>
      </c>
      <c r="F242">
        <v>0.57840851730908505</v>
      </c>
      <c r="G242">
        <v>-1.71229927335189</v>
      </c>
      <c r="H242">
        <v>-2.1733867287514599</v>
      </c>
      <c r="I242">
        <v>0.19256976097367901</v>
      </c>
      <c r="J242">
        <v>9.7516631927030195E-2</v>
      </c>
    </row>
    <row r="243" spans="1:10" hidden="1" x14ac:dyDescent="0.2">
      <c r="A243" s="40" t="s">
        <v>78</v>
      </c>
      <c r="B243" t="s">
        <v>25</v>
      </c>
      <c r="C243">
        <v>1</v>
      </c>
      <c r="D243" t="s">
        <v>79</v>
      </c>
      <c r="E243">
        <v>-1.33720606606667</v>
      </c>
      <c r="F243">
        <v>0.63361478476660604</v>
      </c>
      <c r="G243">
        <v>-2.11044012579225</v>
      </c>
      <c r="H243">
        <v>-2.6330938055648598</v>
      </c>
      <c r="I243">
        <v>-4.1318326568470197E-2</v>
      </c>
      <c r="J243">
        <v>4.3563702310728203E-2</v>
      </c>
    </row>
    <row r="244" spans="1:10" hidden="1" x14ac:dyDescent="0.2">
      <c r="A244" s="40" t="s">
        <v>78</v>
      </c>
      <c r="B244" t="s">
        <v>14</v>
      </c>
      <c r="C244">
        <v>0</v>
      </c>
      <c r="D244" t="s">
        <v>81</v>
      </c>
      <c r="E244">
        <v>-0.109175955459459</v>
      </c>
      <c r="F244">
        <v>0.29112184722988099</v>
      </c>
      <c r="G244">
        <v>-0.375018077476164</v>
      </c>
      <c r="H244">
        <v>-0.68980017162211604</v>
      </c>
      <c r="I244">
        <v>0.47144826070319701</v>
      </c>
      <c r="J244">
        <v>0.70878088650777704</v>
      </c>
    </row>
    <row r="245" spans="1:10" hidden="1" x14ac:dyDescent="0.2">
      <c r="A245" s="40" t="s">
        <v>78</v>
      </c>
      <c r="B245" t="s">
        <v>14</v>
      </c>
      <c r="C245">
        <v>0</v>
      </c>
      <c r="D245" t="s">
        <v>80</v>
      </c>
      <c r="E245">
        <v>0.259343830538461</v>
      </c>
      <c r="F245">
        <v>0.38043425031309702</v>
      </c>
      <c r="G245">
        <v>0.68170473695526002</v>
      </c>
      <c r="H245">
        <v>-0.49940835687482799</v>
      </c>
      <c r="I245">
        <v>1.01809601795175</v>
      </c>
      <c r="J245">
        <v>0.497675019869109</v>
      </c>
    </row>
    <row r="246" spans="1:10" hidden="1" x14ac:dyDescent="0.2">
      <c r="A246" s="40" t="s">
        <v>78</v>
      </c>
      <c r="B246" t="s">
        <v>14</v>
      </c>
      <c r="C246">
        <v>0</v>
      </c>
      <c r="D246" t="s">
        <v>79</v>
      </c>
      <c r="E246">
        <v>0.19641788800000001</v>
      </c>
      <c r="F246">
        <v>1.1199681080419901</v>
      </c>
      <c r="G246">
        <v>0.17537810817076899</v>
      </c>
      <c r="H246">
        <v>-2.0372880706791099</v>
      </c>
      <c r="I246">
        <v>2.43012384667911</v>
      </c>
      <c r="J246">
        <v>0.86128886477861999</v>
      </c>
    </row>
    <row r="247" spans="1:10" hidden="1" x14ac:dyDescent="0.2">
      <c r="A247" s="40" t="s">
        <v>78</v>
      </c>
      <c r="B247" t="s">
        <v>14</v>
      </c>
      <c r="C247">
        <v>1</v>
      </c>
      <c r="D247" t="s">
        <v>81</v>
      </c>
      <c r="E247">
        <v>-3.5274154354166198E-2</v>
      </c>
      <c r="F247">
        <v>0.43051490026503803</v>
      </c>
      <c r="G247">
        <v>-8.1934804887009494E-2</v>
      </c>
      <c r="H247">
        <v>-0.91577598975602603</v>
      </c>
      <c r="I247">
        <v>0.84522768104769297</v>
      </c>
      <c r="J247">
        <v>0.93526146101718999</v>
      </c>
    </row>
    <row r="248" spans="1:10" hidden="1" x14ac:dyDescent="0.2">
      <c r="A248" s="40" t="s">
        <v>78</v>
      </c>
      <c r="B248" t="s">
        <v>14</v>
      </c>
      <c r="C248">
        <v>1</v>
      </c>
      <c r="D248" t="s">
        <v>80</v>
      </c>
      <c r="E248">
        <v>-0.77214534611111096</v>
      </c>
      <c r="F248">
        <v>0.45618473247973801</v>
      </c>
      <c r="G248">
        <v>-1.6926154935389199</v>
      </c>
      <c r="H248">
        <v>-1.7051478832670499</v>
      </c>
      <c r="I248">
        <v>0.16085719104482801</v>
      </c>
      <c r="J248">
        <v>0.101247091769535</v>
      </c>
    </row>
    <row r="249" spans="1:10" hidden="1" x14ac:dyDescent="0.2">
      <c r="A249" s="40" t="s">
        <v>78</v>
      </c>
      <c r="B249" t="s">
        <v>14</v>
      </c>
      <c r="C249">
        <v>1</v>
      </c>
      <c r="D249" t="s">
        <v>79</v>
      </c>
      <c r="E249">
        <v>-0.79134801186666603</v>
      </c>
      <c r="F249">
        <v>0.49972533673722502</v>
      </c>
      <c r="G249">
        <v>-1.5835659184973201</v>
      </c>
      <c r="H249">
        <v>-1.8134010834863901</v>
      </c>
      <c r="I249">
        <v>0.230705059753053</v>
      </c>
      <c r="J249">
        <v>0.12413859812704001</v>
      </c>
    </row>
    <row r="250" spans="1:10" hidden="1" x14ac:dyDescent="0.2">
      <c r="A250" s="40" t="s">
        <v>78</v>
      </c>
      <c r="B250" t="s">
        <v>7</v>
      </c>
      <c r="C250">
        <v>0</v>
      </c>
      <c r="D250" t="s">
        <v>81</v>
      </c>
      <c r="E250">
        <v>-0.197798725398355</v>
      </c>
      <c r="F250">
        <v>0.241536109040941</v>
      </c>
      <c r="G250">
        <v>-0.81891989642355101</v>
      </c>
      <c r="H250">
        <v>-0.67952730510241999</v>
      </c>
      <c r="I250">
        <v>0.28392985430570999</v>
      </c>
      <c r="J250">
        <v>0.41561144221356999</v>
      </c>
    </row>
    <row r="251" spans="1:10" hidden="1" x14ac:dyDescent="0.2">
      <c r="A251" s="40" t="s">
        <v>78</v>
      </c>
      <c r="B251" t="s">
        <v>7</v>
      </c>
      <c r="C251">
        <v>0</v>
      </c>
      <c r="D251" t="s">
        <v>80</v>
      </c>
      <c r="E251">
        <v>-0.14405288438795999</v>
      </c>
      <c r="F251">
        <v>0.31563625142146801</v>
      </c>
      <c r="G251">
        <v>-0.45638890887601802</v>
      </c>
      <c r="H251">
        <v>-0.77356953804327699</v>
      </c>
      <c r="I251">
        <v>0.48546376926735602</v>
      </c>
      <c r="J251">
        <v>0.64952327552446198</v>
      </c>
    </row>
    <row r="252" spans="1:10" hidden="1" x14ac:dyDescent="0.2">
      <c r="A252" s="40" t="s">
        <v>78</v>
      </c>
      <c r="B252" t="s">
        <v>7</v>
      </c>
      <c r="C252">
        <v>0</v>
      </c>
      <c r="D252" t="s">
        <v>79</v>
      </c>
      <c r="E252">
        <v>-0.71198223669565197</v>
      </c>
      <c r="F252">
        <v>0.92920796443284603</v>
      </c>
      <c r="G252">
        <v>-0.76622485379816996</v>
      </c>
      <c r="H252">
        <v>-2.56522908551388</v>
      </c>
      <c r="I252">
        <v>1.14126461212258</v>
      </c>
      <c r="J252">
        <v>0.44611875524579903</v>
      </c>
    </row>
    <row r="253" spans="1:10" hidden="1" x14ac:dyDescent="0.2">
      <c r="A253" s="40" t="s">
        <v>78</v>
      </c>
      <c r="B253" t="s">
        <v>7</v>
      </c>
      <c r="C253">
        <v>1</v>
      </c>
      <c r="D253" t="s">
        <v>81</v>
      </c>
      <c r="E253">
        <v>-0.36607327106249898</v>
      </c>
      <c r="F253">
        <v>0.56678341873958704</v>
      </c>
      <c r="G253">
        <v>-0.64587858246907204</v>
      </c>
      <c r="H253">
        <v>-1.5252755197380099</v>
      </c>
      <c r="I253">
        <v>0.79312897761301704</v>
      </c>
      <c r="J253">
        <v>0.52343635534418098</v>
      </c>
    </row>
    <row r="254" spans="1:10" hidden="1" x14ac:dyDescent="0.2">
      <c r="A254" s="40" t="s">
        <v>78</v>
      </c>
      <c r="B254" t="s">
        <v>7</v>
      </c>
      <c r="C254">
        <v>1</v>
      </c>
      <c r="D254" t="s">
        <v>80</v>
      </c>
      <c r="E254">
        <v>-0.90854131977777697</v>
      </c>
      <c r="F254">
        <v>0.60057838205482295</v>
      </c>
      <c r="G254">
        <v>-1.5127772609285199</v>
      </c>
      <c r="H254">
        <v>-2.1368620291804001</v>
      </c>
      <c r="I254">
        <v>0.31977938962484798</v>
      </c>
      <c r="J254">
        <v>0.141158904825506</v>
      </c>
    </row>
    <row r="255" spans="1:10" hidden="1" x14ac:dyDescent="0.2">
      <c r="A255" s="40" t="s">
        <v>78</v>
      </c>
      <c r="B255" t="s">
        <v>7</v>
      </c>
      <c r="C255">
        <v>1</v>
      </c>
      <c r="D255" t="s">
        <v>79</v>
      </c>
      <c r="E255">
        <v>-1.0884731110000001</v>
      </c>
      <c r="F255">
        <v>0.65790065480276505</v>
      </c>
      <c r="G255">
        <v>-1.6544642463174299</v>
      </c>
      <c r="H255">
        <v>-2.4340310317811298</v>
      </c>
      <c r="I255">
        <v>0.25708480978113202</v>
      </c>
      <c r="J255">
        <v>0.108818266299616</v>
      </c>
    </row>
    <row r="256" spans="1:10" hidden="1" x14ac:dyDescent="0.2">
      <c r="A256" s="40" t="s">
        <v>78</v>
      </c>
      <c r="B256" t="s">
        <v>21</v>
      </c>
      <c r="C256">
        <v>0</v>
      </c>
      <c r="D256" t="s">
        <v>81</v>
      </c>
      <c r="E256">
        <v>-0.37046623296474801</v>
      </c>
      <c r="F256">
        <v>0.324829749721253</v>
      </c>
      <c r="G256">
        <v>-1.1404935455655101</v>
      </c>
      <c r="H256">
        <v>-1.01831874081616</v>
      </c>
      <c r="I256">
        <v>0.27738627488666501</v>
      </c>
      <c r="J256">
        <v>0.25796786544102102</v>
      </c>
    </row>
    <row r="257" spans="1:10" hidden="1" x14ac:dyDescent="0.2">
      <c r="A257" s="40" t="s">
        <v>78</v>
      </c>
      <c r="B257" t="s">
        <v>21</v>
      </c>
      <c r="C257">
        <v>0</v>
      </c>
      <c r="D257" t="s">
        <v>80</v>
      </c>
      <c r="E257">
        <v>-0.337137072939799</v>
      </c>
      <c r="F257">
        <v>0.42448329965773801</v>
      </c>
      <c r="G257">
        <v>-0.79422929762286099</v>
      </c>
      <c r="H257">
        <v>-1.18374231910428</v>
      </c>
      <c r="I257">
        <v>0.50946817322468196</v>
      </c>
      <c r="J257">
        <v>0.42974634430012298</v>
      </c>
    </row>
    <row r="258" spans="1:10" hidden="1" x14ac:dyDescent="0.2">
      <c r="A258" s="40" t="s">
        <v>78</v>
      </c>
      <c r="B258" t="s">
        <v>21</v>
      </c>
      <c r="C258">
        <v>0</v>
      </c>
      <c r="D258" t="s">
        <v>79</v>
      </c>
      <c r="E258">
        <v>-0.67921388047826303</v>
      </c>
      <c r="F258">
        <v>1.2496449981089699</v>
      </c>
      <c r="G258">
        <v>-0.54352546643733501</v>
      </c>
      <c r="H258">
        <v>-3.17155224124603</v>
      </c>
      <c r="I258">
        <v>1.8131244802895099</v>
      </c>
      <c r="J258">
        <v>0.58849489770778896</v>
      </c>
    </row>
    <row r="259" spans="1:10" hidden="1" x14ac:dyDescent="0.2">
      <c r="A259" s="40" t="s">
        <v>78</v>
      </c>
      <c r="B259" t="s">
        <v>21</v>
      </c>
      <c r="C259">
        <v>1</v>
      </c>
      <c r="D259" t="s">
        <v>81</v>
      </c>
      <c r="E259">
        <v>0.53130764652083295</v>
      </c>
      <c r="F259">
        <v>0.64210151288686101</v>
      </c>
      <c r="G259">
        <v>0.82745116754529502</v>
      </c>
      <c r="H259">
        <v>-0.78193740089362895</v>
      </c>
      <c r="I259">
        <v>1.8445526939353001</v>
      </c>
      <c r="J259">
        <v>0.41473875060947601</v>
      </c>
    </row>
    <row r="260" spans="1:10" hidden="1" x14ac:dyDescent="0.2">
      <c r="A260" s="40" t="s">
        <v>78</v>
      </c>
      <c r="B260" t="s">
        <v>21</v>
      </c>
      <c r="C260">
        <v>1</v>
      </c>
      <c r="D260" t="s">
        <v>80</v>
      </c>
      <c r="E260">
        <v>0.55773207833333405</v>
      </c>
      <c r="F260">
        <v>0.680387384271252</v>
      </c>
      <c r="G260">
        <v>0.81972724836852795</v>
      </c>
      <c r="H260">
        <v>-0.83381636811136495</v>
      </c>
      <c r="I260">
        <v>1.94928052477803</v>
      </c>
      <c r="J260">
        <v>0.41905810811795202</v>
      </c>
    </row>
    <row r="261" spans="1:10" hidden="1" x14ac:dyDescent="0.2">
      <c r="A261" s="40" t="s">
        <v>78</v>
      </c>
      <c r="B261" t="s">
        <v>21</v>
      </c>
      <c r="C261">
        <v>1</v>
      </c>
      <c r="D261" t="s">
        <v>79</v>
      </c>
      <c r="E261">
        <v>0.53881026733333404</v>
      </c>
      <c r="F261">
        <v>0.74532703641460096</v>
      </c>
      <c r="G261">
        <v>0.72291791523528204</v>
      </c>
      <c r="H261">
        <v>-0.98555468062472895</v>
      </c>
      <c r="I261">
        <v>2.0631752152914</v>
      </c>
      <c r="J261">
        <v>0.47552073858265698</v>
      </c>
    </row>
    <row r="262" spans="1:10" hidden="1" x14ac:dyDescent="0.2">
      <c r="A262" s="40" t="s">
        <v>78</v>
      </c>
      <c r="B262" t="s">
        <v>11</v>
      </c>
      <c r="C262">
        <v>0</v>
      </c>
      <c r="D262" t="s">
        <v>81</v>
      </c>
      <c r="E262">
        <v>-0.26400194959341999</v>
      </c>
      <c r="F262">
        <v>0.30157079372215301</v>
      </c>
      <c r="G262">
        <v>-0.87542280316658805</v>
      </c>
      <c r="H262">
        <v>-0.86546593241917402</v>
      </c>
      <c r="I262">
        <v>0.33746203323233398</v>
      </c>
      <c r="J262">
        <v>0.38433791461318001</v>
      </c>
    </row>
    <row r="263" spans="1:10" hidden="1" x14ac:dyDescent="0.2">
      <c r="A263" s="40" t="s">
        <v>78</v>
      </c>
      <c r="B263" t="s">
        <v>11</v>
      </c>
      <c r="C263">
        <v>0</v>
      </c>
      <c r="D263" t="s">
        <v>80</v>
      </c>
      <c r="E263">
        <v>-0.167583418628763</v>
      </c>
      <c r="F263">
        <v>0.39408879793009499</v>
      </c>
      <c r="G263">
        <v>-0.42524278667390503</v>
      </c>
      <c r="H263">
        <v>-0.95356874255384105</v>
      </c>
      <c r="I263">
        <v>0.618401905296315</v>
      </c>
      <c r="J263">
        <v>0.67196414221436895</v>
      </c>
    </row>
    <row r="264" spans="1:10" hidden="1" x14ac:dyDescent="0.2">
      <c r="A264" s="40" t="s">
        <v>78</v>
      </c>
      <c r="B264" t="s">
        <v>11</v>
      </c>
      <c r="C264">
        <v>0</v>
      </c>
      <c r="D264" t="s">
        <v>79</v>
      </c>
      <c r="E264">
        <v>-0.13061663378260599</v>
      </c>
      <c r="F264">
        <v>1.1601660078057301</v>
      </c>
      <c r="G264">
        <v>-0.112584434385943</v>
      </c>
      <c r="H264">
        <v>-2.4444947755657802</v>
      </c>
      <c r="I264">
        <v>2.18326150800057</v>
      </c>
      <c r="J264">
        <v>0.91068226767441096</v>
      </c>
    </row>
    <row r="265" spans="1:10" hidden="1" x14ac:dyDescent="0.2">
      <c r="A265" s="40" t="s">
        <v>78</v>
      </c>
      <c r="B265" t="s">
        <v>11</v>
      </c>
      <c r="C265">
        <v>1</v>
      </c>
      <c r="D265" t="s">
        <v>81</v>
      </c>
      <c r="E265">
        <v>-1.2587806065</v>
      </c>
      <c r="F265">
        <v>0.44469243031227801</v>
      </c>
      <c r="G265">
        <v>-2.8306769369023002</v>
      </c>
      <c r="H265">
        <v>-2.1682787466066999</v>
      </c>
      <c r="I265">
        <v>-0.34928246639329702</v>
      </c>
      <c r="J265">
        <v>8.3511507163817507E-3</v>
      </c>
    </row>
    <row r="266" spans="1:10" hidden="1" x14ac:dyDescent="0.2">
      <c r="A266" s="40" t="s">
        <v>78</v>
      </c>
      <c r="B266" t="s">
        <v>11</v>
      </c>
      <c r="C266">
        <v>1</v>
      </c>
      <c r="D266" t="s">
        <v>80</v>
      </c>
      <c r="E266">
        <v>-1.22374779555556</v>
      </c>
      <c r="F266">
        <v>0.47120761031240299</v>
      </c>
      <c r="G266">
        <v>-2.59704590667419</v>
      </c>
      <c r="H266">
        <v>-2.187475567765</v>
      </c>
      <c r="I266">
        <v>-0.26002002334611202</v>
      </c>
      <c r="J266">
        <v>1.4615626075971999E-2</v>
      </c>
    </row>
    <row r="267" spans="1:10" hidden="1" x14ac:dyDescent="0.2">
      <c r="A267" s="40" t="s">
        <v>78</v>
      </c>
      <c r="B267" t="s">
        <v>11</v>
      </c>
      <c r="C267">
        <v>1</v>
      </c>
      <c r="D267" t="s">
        <v>79</v>
      </c>
      <c r="E267">
        <v>-1.6553945608</v>
      </c>
      <c r="F267">
        <v>0.51618207487241496</v>
      </c>
      <c r="G267">
        <v>-3.2069973782200099</v>
      </c>
      <c r="H267">
        <v>-2.7111054410666302</v>
      </c>
      <c r="I267">
        <v>-0.59968368053337495</v>
      </c>
      <c r="J267">
        <v>3.2596320951754198E-3</v>
      </c>
    </row>
    <row r="268" spans="1:10" hidden="1" x14ac:dyDescent="0.2">
      <c r="A268" s="40" t="s">
        <v>78</v>
      </c>
      <c r="B268" t="s">
        <v>13</v>
      </c>
      <c r="C268">
        <v>0</v>
      </c>
      <c r="D268" t="s">
        <v>81</v>
      </c>
      <c r="E268">
        <v>-9.4102299419506596E-2</v>
      </c>
      <c r="F268">
        <v>0.29232129058931999</v>
      </c>
      <c r="G268">
        <v>-0.32191394348935798</v>
      </c>
      <c r="H268">
        <v>-0.67711872993169597</v>
      </c>
      <c r="I268">
        <v>0.488914131092683</v>
      </c>
      <c r="J268">
        <v>0.748477263036186</v>
      </c>
    </row>
    <row r="269" spans="1:10" hidden="1" x14ac:dyDescent="0.2">
      <c r="A269" s="40" t="s">
        <v>78</v>
      </c>
      <c r="B269" t="s">
        <v>13</v>
      </c>
      <c r="C269">
        <v>0</v>
      </c>
      <c r="D269" t="s">
        <v>80</v>
      </c>
      <c r="E269">
        <v>7.9372561237458006E-2</v>
      </c>
      <c r="F269">
        <v>0.38200166732278901</v>
      </c>
      <c r="G269">
        <v>0.20778066701574999</v>
      </c>
      <c r="H269">
        <v>-0.68250574082958404</v>
      </c>
      <c r="I269">
        <v>0.84125086330450005</v>
      </c>
      <c r="J269">
        <v>0.83600355791516401</v>
      </c>
    </row>
    <row r="270" spans="1:10" hidden="1" x14ac:dyDescent="0.2">
      <c r="A270" s="40" t="s">
        <v>78</v>
      </c>
      <c r="B270" t="s">
        <v>13</v>
      </c>
      <c r="C270">
        <v>0</v>
      </c>
      <c r="D270" t="s">
        <v>79</v>
      </c>
      <c r="E270">
        <v>0.191628072391305</v>
      </c>
      <c r="F270">
        <v>1.1245824587777999</v>
      </c>
      <c r="G270">
        <v>0.17039930766799199</v>
      </c>
      <c r="H270">
        <v>-2.0512809186420302</v>
      </c>
      <c r="I270">
        <v>2.4345370634246399</v>
      </c>
      <c r="J270">
        <v>0.865187668640782</v>
      </c>
    </row>
    <row r="271" spans="1:10" hidden="1" x14ac:dyDescent="0.2">
      <c r="A271" s="40" t="s">
        <v>78</v>
      </c>
      <c r="B271" t="s">
        <v>13</v>
      </c>
      <c r="C271">
        <v>1</v>
      </c>
      <c r="D271" t="s">
        <v>81</v>
      </c>
      <c r="E271">
        <v>-0.1135179819375</v>
      </c>
      <c r="F271">
        <v>0.523709167576485</v>
      </c>
      <c r="G271">
        <v>-0.21675767575888599</v>
      </c>
      <c r="H271">
        <v>-1.18462349532157</v>
      </c>
      <c r="I271">
        <v>0.95758753144657005</v>
      </c>
      <c r="J271">
        <v>0.82991486145186599</v>
      </c>
    </row>
    <row r="272" spans="1:10" hidden="1" x14ac:dyDescent="0.2">
      <c r="A272" s="40" t="s">
        <v>78</v>
      </c>
      <c r="B272" t="s">
        <v>13</v>
      </c>
      <c r="C272">
        <v>1</v>
      </c>
      <c r="D272" t="s">
        <v>80</v>
      </c>
      <c r="E272">
        <v>-0.72678674799999998</v>
      </c>
      <c r="F272">
        <v>0.554935790517323</v>
      </c>
      <c r="G272">
        <v>-1.30967719224322</v>
      </c>
      <c r="H272">
        <v>-1.86175787624637</v>
      </c>
      <c r="I272">
        <v>0.40818438024637399</v>
      </c>
      <c r="J272">
        <v>0.20058614378173301</v>
      </c>
    </row>
    <row r="273" spans="1:10" hidden="1" x14ac:dyDescent="0.2">
      <c r="A273" s="40" t="s">
        <v>78</v>
      </c>
      <c r="B273" t="s">
        <v>13</v>
      </c>
      <c r="C273">
        <v>1</v>
      </c>
      <c r="D273" t="s">
        <v>79</v>
      </c>
      <c r="E273">
        <v>-0.94845257019999996</v>
      </c>
      <c r="F273">
        <v>0.607901700866599</v>
      </c>
      <c r="G273">
        <v>-1.5602071335676899</v>
      </c>
      <c r="H273">
        <v>-2.1917511483152601</v>
      </c>
      <c r="I273">
        <v>0.294846007915256</v>
      </c>
      <c r="J273">
        <v>0.129558718719544</v>
      </c>
    </row>
    <row r="274" spans="1:10" hidden="1" x14ac:dyDescent="0.2">
      <c r="A274" s="40" t="s">
        <v>78</v>
      </c>
      <c r="B274" t="s">
        <v>17</v>
      </c>
      <c r="C274">
        <v>0</v>
      </c>
      <c r="D274" t="s">
        <v>81</v>
      </c>
      <c r="E274">
        <v>-0.40120213325852</v>
      </c>
      <c r="F274">
        <v>0.35446193774914497</v>
      </c>
      <c r="G274">
        <v>-1.13186238219589</v>
      </c>
      <c r="H274">
        <v>-1.1081541766157399</v>
      </c>
      <c r="I274">
        <v>0.305749910098703</v>
      </c>
      <c r="J274">
        <v>0.26155484345239999</v>
      </c>
    </row>
    <row r="275" spans="1:10" hidden="1" x14ac:dyDescent="0.2">
      <c r="A275" s="40" t="s">
        <v>78</v>
      </c>
      <c r="B275" t="s">
        <v>17</v>
      </c>
      <c r="C275">
        <v>0</v>
      </c>
      <c r="D275" t="s">
        <v>80</v>
      </c>
      <c r="E275">
        <v>-0.45437650113377898</v>
      </c>
      <c r="F275">
        <v>0.463206258256671</v>
      </c>
      <c r="G275">
        <v>-0.98093774217100604</v>
      </c>
      <c r="H275">
        <v>-1.3782122530055501</v>
      </c>
      <c r="I275">
        <v>0.46945925073799499</v>
      </c>
      <c r="J275">
        <v>0.33000168286109599</v>
      </c>
    </row>
    <row r="276" spans="1:10" hidden="1" x14ac:dyDescent="0.2">
      <c r="A276" s="40" t="s">
        <v>78</v>
      </c>
      <c r="B276" t="s">
        <v>17</v>
      </c>
      <c r="C276">
        <v>0</v>
      </c>
      <c r="D276" t="s">
        <v>79</v>
      </c>
      <c r="E276">
        <v>-1.0043717268260901</v>
      </c>
      <c r="F276">
        <v>1.36364230156981</v>
      </c>
      <c r="G276">
        <v>-0.73653605910425901</v>
      </c>
      <c r="H276">
        <v>-3.7240705402579901</v>
      </c>
      <c r="I276">
        <v>1.7153270866058099</v>
      </c>
      <c r="J276">
        <v>0.463865838191451</v>
      </c>
    </row>
    <row r="277" spans="1:10" hidden="1" x14ac:dyDescent="0.2">
      <c r="A277" s="40" t="s">
        <v>78</v>
      </c>
      <c r="B277" t="s">
        <v>17</v>
      </c>
      <c r="C277">
        <v>1</v>
      </c>
      <c r="D277" t="s">
        <v>81</v>
      </c>
      <c r="E277">
        <v>0.37029873022916698</v>
      </c>
      <c r="F277">
        <v>0.44824102100615598</v>
      </c>
      <c r="G277">
        <v>0.82611522122175696</v>
      </c>
      <c r="H277">
        <v>-0.54645709275245102</v>
      </c>
      <c r="I277">
        <v>1.28705455321078</v>
      </c>
      <c r="J277">
        <v>0.41548384926347198</v>
      </c>
    </row>
    <row r="278" spans="1:10" hidden="1" x14ac:dyDescent="0.2">
      <c r="A278" s="40" t="s">
        <v>78</v>
      </c>
      <c r="B278" t="s">
        <v>17</v>
      </c>
      <c r="C278">
        <v>1</v>
      </c>
      <c r="D278" t="s">
        <v>80</v>
      </c>
      <c r="E278">
        <v>0.36733920855555602</v>
      </c>
      <c r="F278">
        <v>0.47496778886921998</v>
      </c>
      <c r="G278">
        <v>0.77339814859887401</v>
      </c>
      <c r="H278">
        <v>-0.60407899229800099</v>
      </c>
      <c r="I278">
        <v>1.3387574094091099</v>
      </c>
      <c r="J278">
        <v>0.44554564687120701</v>
      </c>
    </row>
    <row r="279" spans="1:10" hidden="1" x14ac:dyDescent="0.2">
      <c r="A279" s="40" t="s">
        <v>78</v>
      </c>
      <c r="B279" t="s">
        <v>17</v>
      </c>
      <c r="C279">
        <v>1</v>
      </c>
      <c r="D279" t="s">
        <v>79</v>
      </c>
      <c r="E279">
        <v>0.32809059006666702</v>
      </c>
      <c r="F279">
        <v>0.52030114410404604</v>
      </c>
      <c r="G279">
        <v>0.63057825988761895</v>
      </c>
      <c r="H279">
        <v>-0.73604473269048798</v>
      </c>
      <c r="I279">
        <v>1.3922259128238199</v>
      </c>
      <c r="J279">
        <v>0.53325451037477201</v>
      </c>
    </row>
    <row r="280" spans="1:10" hidden="1" x14ac:dyDescent="0.2">
      <c r="A280" s="40" t="s">
        <v>78</v>
      </c>
      <c r="B280" t="s">
        <v>26</v>
      </c>
      <c r="C280">
        <v>0</v>
      </c>
      <c r="D280" t="s">
        <v>81</v>
      </c>
      <c r="E280">
        <v>-0.202217262311399</v>
      </c>
      <c r="F280">
        <v>0.35478119904425698</v>
      </c>
      <c r="G280">
        <v>-0.56997739129398906</v>
      </c>
      <c r="H280">
        <v>-0.90980605224394395</v>
      </c>
      <c r="I280">
        <v>0.50537152762114701</v>
      </c>
      <c r="J280">
        <v>0.57051789756641103</v>
      </c>
    </row>
    <row r="281" spans="1:10" hidden="1" x14ac:dyDescent="0.2">
      <c r="A281" s="40" t="s">
        <v>78</v>
      </c>
      <c r="B281" t="s">
        <v>26</v>
      </c>
      <c r="C281">
        <v>0</v>
      </c>
      <c r="D281" t="s">
        <v>80</v>
      </c>
      <c r="E281">
        <v>-0.338843973608695</v>
      </c>
      <c r="F281">
        <v>0.463623464772141</v>
      </c>
      <c r="G281">
        <v>-0.73086027639957496</v>
      </c>
      <c r="H281">
        <v>-1.2635118176381901</v>
      </c>
      <c r="I281">
        <v>0.58582387042080397</v>
      </c>
      <c r="J281">
        <v>0.467303831598677</v>
      </c>
    </row>
    <row r="282" spans="1:10" hidden="1" x14ac:dyDescent="0.2">
      <c r="A282" s="40" t="s">
        <v>78</v>
      </c>
      <c r="B282" t="s">
        <v>26</v>
      </c>
      <c r="C282">
        <v>0</v>
      </c>
      <c r="D282" t="s">
        <v>79</v>
      </c>
      <c r="E282">
        <v>-0.67667639160869497</v>
      </c>
      <c r="F282">
        <v>1.3648705242953101</v>
      </c>
      <c r="G282">
        <v>-0.49578064700171398</v>
      </c>
      <c r="H282">
        <v>-3.39882481802585</v>
      </c>
      <c r="I282">
        <v>2.0454720348084598</v>
      </c>
      <c r="J282">
        <v>0.62160219886735602</v>
      </c>
    </row>
    <row r="283" spans="1:10" hidden="1" x14ac:dyDescent="0.2">
      <c r="A283" s="40" t="s">
        <v>78</v>
      </c>
      <c r="B283" t="s">
        <v>26</v>
      </c>
      <c r="C283">
        <v>1</v>
      </c>
      <c r="D283" t="s">
        <v>81</v>
      </c>
      <c r="E283">
        <v>0.41776722577083297</v>
      </c>
      <c r="F283">
        <v>0.56393322585005101</v>
      </c>
      <c r="G283">
        <v>0.74080973885003298</v>
      </c>
      <c r="H283">
        <v>-0.73560572392120904</v>
      </c>
      <c r="I283">
        <v>1.57114017546287</v>
      </c>
      <c r="J283">
        <v>0.464765338101711</v>
      </c>
    </row>
    <row r="284" spans="1:10" hidden="1" x14ac:dyDescent="0.2">
      <c r="A284" s="40" t="s">
        <v>78</v>
      </c>
      <c r="B284" t="s">
        <v>26</v>
      </c>
      <c r="C284">
        <v>1</v>
      </c>
      <c r="D284" t="s">
        <v>80</v>
      </c>
      <c r="E284">
        <v>0.20233463977777699</v>
      </c>
      <c r="F284">
        <v>0.59755824388997003</v>
      </c>
      <c r="G284">
        <v>0.33860237365419699</v>
      </c>
      <c r="H284">
        <v>-1.0198091935267499</v>
      </c>
      <c r="I284">
        <v>1.4244784730823099</v>
      </c>
      <c r="J284">
        <v>0.73734872042061606</v>
      </c>
    </row>
    <row r="285" spans="1:10" hidden="1" x14ac:dyDescent="0.2">
      <c r="A285" s="40" t="s">
        <v>78</v>
      </c>
      <c r="B285" t="s">
        <v>26</v>
      </c>
      <c r="C285">
        <v>1</v>
      </c>
      <c r="D285" t="s">
        <v>79</v>
      </c>
      <c r="E285">
        <v>0.189576391533333</v>
      </c>
      <c r="F285">
        <v>0.65459225920342101</v>
      </c>
      <c r="G285">
        <v>0.28960988900790002</v>
      </c>
      <c r="H285">
        <v>-1.1492151005001201</v>
      </c>
      <c r="I285">
        <v>1.52836788356678</v>
      </c>
      <c r="J285">
        <v>0.77417526334175202</v>
      </c>
    </row>
    <row r="286" spans="1:10" hidden="1" x14ac:dyDescent="0.2">
      <c r="A286" s="40" t="s">
        <v>78</v>
      </c>
      <c r="B286" t="s">
        <v>9</v>
      </c>
      <c r="C286">
        <v>0</v>
      </c>
      <c r="D286" t="s">
        <v>81</v>
      </c>
      <c r="E286">
        <v>-1.35747982326677E-2</v>
      </c>
      <c r="F286">
        <v>0.25758941051740802</v>
      </c>
      <c r="G286">
        <v>-5.2699364486298701E-2</v>
      </c>
      <c r="H286">
        <v>-0.527320678167849</v>
      </c>
      <c r="I286">
        <v>0.50017108170251401</v>
      </c>
      <c r="J286">
        <v>0.95812155114683395</v>
      </c>
    </row>
    <row r="287" spans="1:10" hidden="1" x14ac:dyDescent="0.2">
      <c r="A287" s="40" t="s">
        <v>78</v>
      </c>
      <c r="B287" t="s">
        <v>9</v>
      </c>
      <c r="C287">
        <v>0</v>
      </c>
      <c r="D287" t="s">
        <v>80</v>
      </c>
      <c r="E287">
        <v>-0.212916137120402</v>
      </c>
      <c r="F287">
        <v>0.33661449737024202</v>
      </c>
      <c r="G287">
        <v>-0.63252218423087003</v>
      </c>
      <c r="H287">
        <v>-0.88427258303581602</v>
      </c>
      <c r="I287">
        <v>0.45844030879501302</v>
      </c>
      <c r="J287">
        <v>0.52910648508309299</v>
      </c>
    </row>
    <row r="288" spans="1:10" hidden="1" x14ac:dyDescent="0.2">
      <c r="A288" s="40" t="s">
        <v>78</v>
      </c>
      <c r="B288" t="s">
        <v>9</v>
      </c>
      <c r="C288">
        <v>0</v>
      </c>
      <c r="D288" t="s">
        <v>79</v>
      </c>
      <c r="E288">
        <v>-3.0008060434783498E-3</v>
      </c>
      <c r="F288">
        <v>0.99096624830437297</v>
      </c>
      <c r="G288">
        <v>-3.0281617044102E-3</v>
      </c>
      <c r="H288">
        <v>-1.97942066817438</v>
      </c>
      <c r="I288">
        <v>1.9734190560874201</v>
      </c>
      <c r="J288">
        <v>0.99759249358976598</v>
      </c>
    </row>
    <row r="289" spans="1:10" hidden="1" x14ac:dyDescent="0.2">
      <c r="A289" s="40" t="s">
        <v>78</v>
      </c>
      <c r="B289" t="s">
        <v>9</v>
      </c>
      <c r="C289">
        <v>1</v>
      </c>
      <c r="D289" t="s">
        <v>81</v>
      </c>
      <c r="E289">
        <v>-0.639858925374999</v>
      </c>
      <c r="F289">
        <v>0.33733303623725303</v>
      </c>
      <c r="G289">
        <v>-1.8968166667345701</v>
      </c>
      <c r="H289">
        <v>-1.32978245035805</v>
      </c>
      <c r="I289">
        <v>5.0064599608055801E-2</v>
      </c>
      <c r="J289">
        <v>6.7852287485481499E-2</v>
      </c>
    </row>
    <row r="290" spans="1:10" hidden="1" x14ac:dyDescent="0.2">
      <c r="A290" s="40" t="s">
        <v>78</v>
      </c>
      <c r="B290" t="s">
        <v>9</v>
      </c>
      <c r="C290">
        <v>1</v>
      </c>
      <c r="D290" t="s">
        <v>80</v>
      </c>
      <c r="E290">
        <v>-0.99865692422222097</v>
      </c>
      <c r="F290">
        <v>0.35744681728258898</v>
      </c>
      <c r="G290">
        <v>-2.7938615646777598</v>
      </c>
      <c r="H290">
        <v>-1.72971775041457</v>
      </c>
      <c r="I290">
        <v>-0.26759609802987799</v>
      </c>
      <c r="J290">
        <v>9.1334152135441604E-3</v>
      </c>
    </row>
    <row r="291" spans="1:10" hidden="1" x14ac:dyDescent="0.2">
      <c r="A291" s="40" t="s">
        <v>78</v>
      </c>
      <c r="B291" t="s">
        <v>9</v>
      </c>
      <c r="C291">
        <v>1</v>
      </c>
      <c r="D291" t="s">
        <v>79</v>
      </c>
      <c r="E291">
        <v>-1.2675094438000001</v>
      </c>
      <c r="F291">
        <v>0.391563369868203</v>
      </c>
      <c r="G291">
        <v>-3.23704805234114</v>
      </c>
      <c r="H291">
        <v>-2.0683464546278199</v>
      </c>
      <c r="I291">
        <v>-0.46667243297217897</v>
      </c>
      <c r="J291">
        <v>3.0182298336572698E-3</v>
      </c>
    </row>
    <row r="292" spans="1:10" hidden="1" x14ac:dyDescent="0.2">
      <c r="A292" s="2" t="s">
        <v>23</v>
      </c>
      <c r="B292" t="s">
        <v>18</v>
      </c>
      <c r="C292">
        <v>0</v>
      </c>
      <c r="D292" t="s">
        <v>24</v>
      </c>
      <c r="E292">
        <v>0.47431866687671098</v>
      </c>
      <c r="F292">
        <v>1.11834796907701</v>
      </c>
      <c r="G292">
        <v>0.42412440491859998</v>
      </c>
      <c r="H292">
        <v>-1.7550672643286001</v>
      </c>
      <c r="I292">
        <v>2.70370459808202</v>
      </c>
      <c r="J292">
        <v>0.67273962390368702</v>
      </c>
    </row>
    <row r="293" spans="1:10" hidden="1" x14ac:dyDescent="0.2">
      <c r="A293" s="2" t="s">
        <v>23</v>
      </c>
      <c r="B293" t="s">
        <v>18</v>
      </c>
      <c r="C293">
        <v>1</v>
      </c>
      <c r="D293" t="s">
        <v>24</v>
      </c>
      <c r="E293">
        <v>0.75397878999285595</v>
      </c>
      <c r="F293">
        <v>0.32515548465065802</v>
      </c>
      <c r="G293">
        <v>2.3188253791964102</v>
      </c>
      <c r="H293">
        <v>9.0819806878297493E-2</v>
      </c>
      <c r="I293">
        <v>1.41713777310741</v>
      </c>
      <c r="J293">
        <v>2.7167432771428301E-2</v>
      </c>
    </row>
    <row r="294" spans="1:10" hidden="1" x14ac:dyDescent="0.2">
      <c r="A294" s="2" t="s">
        <v>23</v>
      </c>
      <c r="B294" t="s">
        <v>25</v>
      </c>
      <c r="C294">
        <v>0</v>
      </c>
      <c r="D294" t="s">
        <v>24</v>
      </c>
      <c r="E294">
        <v>0.38384032427397202</v>
      </c>
      <c r="F294">
        <v>1.1364855387875401</v>
      </c>
      <c r="G294">
        <v>0.33774325424630802</v>
      </c>
      <c r="H294">
        <v>-1.88170219133707</v>
      </c>
      <c r="I294">
        <v>2.6493828398850199</v>
      </c>
      <c r="J294">
        <v>0.73653941709861304</v>
      </c>
    </row>
    <row r="295" spans="1:10" hidden="1" x14ac:dyDescent="0.2">
      <c r="A295" s="2" t="s">
        <v>23</v>
      </c>
      <c r="B295" t="s">
        <v>25</v>
      </c>
      <c r="C295">
        <v>1</v>
      </c>
      <c r="D295" t="s">
        <v>24</v>
      </c>
      <c r="E295">
        <v>0.705791641257142</v>
      </c>
      <c r="F295">
        <v>0.42982553107233901</v>
      </c>
      <c r="G295">
        <v>1.64204215486297</v>
      </c>
      <c r="H295">
        <v>-0.17084330896937</v>
      </c>
      <c r="I295">
        <v>1.5824265914836499</v>
      </c>
      <c r="J295">
        <v>0.110688833025576</v>
      </c>
    </row>
    <row r="296" spans="1:10" hidden="1" x14ac:dyDescent="0.2">
      <c r="A296" s="2" t="s">
        <v>23</v>
      </c>
      <c r="B296" t="s">
        <v>14</v>
      </c>
      <c r="C296">
        <v>0</v>
      </c>
      <c r="D296" t="s">
        <v>24</v>
      </c>
      <c r="E296">
        <v>-0.20556912847945299</v>
      </c>
      <c r="F296">
        <v>1.09686684598415</v>
      </c>
      <c r="G296">
        <v>-0.187414843681421</v>
      </c>
      <c r="H296">
        <v>-2.3921332234281798</v>
      </c>
      <c r="I296">
        <v>1.9809949664692701</v>
      </c>
      <c r="J296">
        <v>0.85186253063388395</v>
      </c>
    </row>
    <row r="297" spans="1:10" hidden="1" x14ac:dyDescent="0.2">
      <c r="A297" s="2" t="s">
        <v>23</v>
      </c>
      <c r="B297" t="s">
        <v>14</v>
      </c>
      <c r="C297">
        <v>1</v>
      </c>
      <c r="D297" t="s">
        <v>24</v>
      </c>
      <c r="E297">
        <v>0.52300177670000003</v>
      </c>
      <c r="F297">
        <v>0.358984406447097</v>
      </c>
      <c r="G297">
        <v>1.45689274327038</v>
      </c>
      <c r="H297">
        <v>-0.20915174729548799</v>
      </c>
      <c r="I297">
        <v>1.2551553006954901</v>
      </c>
      <c r="J297">
        <v>0.15520148052704499</v>
      </c>
    </row>
    <row r="298" spans="1:10" hidden="1" x14ac:dyDescent="0.2">
      <c r="A298" s="2" t="s">
        <v>23</v>
      </c>
      <c r="B298" t="s">
        <v>7</v>
      </c>
      <c r="C298">
        <v>0</v>
      </c>
      <c r="D298" t="s">
        <v>24</v>
      </c>
      <c r="E298">
        <v>0.58607483482191702</v>
      </c>
      <c r="F298">
        <v>0.907398842365023</v>
      </c>
      <c r="G298">
        <v>0.64588448591623204</v>
      </c>
      <c r="H298">
        <v>-1.2227916978639199</v>
      </c>
      <c r="I298">
        <v>2.3949413675077502</v>
      </c>
      <c r="J298">
        <v>0.52040744272351303</v>
      </c>
    </row>
    <row r="299" spans="1:10" hidden="1" x14ac:dyDescent="0.2">
      <c r="A299" s="2" t="s">
        <v>23</v>
      </c>
      <c r="B299" t="s">
        <v>7</v>
      </c>
      <c r="C299">
        <v>1</v>
      </c>
      <c r="D299" t="s">
        <v>24</v>
      </c>
      <c r="E299">
        <v>0.587257246178572</v>
      </c>
      <c r="F299">
        <v>0.44526575800192802</v>
      </c>
      <c r="G299">
        <v>1.3188915510004899</v>
      </c>
      <c r="H299">
        <v>-0.32086825448625</v>
      </c>
      <c r="I299">
        <v>1.49538274684339</v>
      </c>
      <c r="J299">
        <v>0.19686574848230501</v>
      </c>
    </row>
    <row r="300" spans="1:10" hidden="1" x14ac:dyDescent="0.2">
      <c r="A300" s="2" t="s">
        <v>23</v>
      </c>
      <c r="B300" t="s">
        <v>21</v>
      </c>
      <c r="C300">
        <v>0</v>
      </c>
      <c r="D300" t="s">
        <v>24</v>
      </c>
      <c r="E300">
        <v>0.43140521516438202</v>
      </c>
      <c r="F300">
        <v>1.2264131481395399</v>
      </c>
      <c r="G300">
        <v>0.35176173365298702</v>
      </c>
      <c r="H300">
        <v>-2.0134047133268802</v>
      </c>
      <c r="I300">
        <v>2.87621514365564</v>
      </c>
      <c r="J300">
        <v>0.72604437622164397</v>
      </c>
    </row>
    <row r="301" spans="1:10" hidden="1" x14ac:dyDescent="0.2">
      <c r="A301" s="2" t="s">
        <v>23</v>
      </c>
      <c r="B301" t="s">
        <v>21</v>
      </c>
      <c r="C301">
        <v>1</v>
      </c>
      <c r="D301" t="s">
        <v>24</v>
      </c>
      <c r="E301">
        <v>-5.5934872714283101E-2</v>
      </c>
      <c r="F301">
        <v>0.48545290032447003</v>
      </c>
      <c r="G301">
        <v>-0.115222038382914</v>
      </c>
      <c r="H301">
        <v>-1.0460225905181699</v>
      </c>
      <c r="I301">
        <v>0.93415284508960805</v>
      </c>
      <c r="J301">
        <v>0.90901225031085597</v>
      </c>
    </row>
    <row r="302" spans="1:10" hidden="1" x14ac:dyDescent="0.2">
      <c r="A302" s="2" t="s">
        <v>23</v>
      </c>
      <c r="B302" t="s">
        <v>11</v>
      </c>
      <c r="C302">
        <v>0</v>
      </c>
      <c r="D302" t="s">
        <v>24</v>
      </c>
      <c r="E302">
        <v>-3.3036196041091301E-2</v>
      </c>
      <c r="F302">
        <v>1.13365430375438</v>
      </c>
      <c r="G302">
        <v>-2.9141331649060701E-2</v>
      </c>
      <c r="H302">
        <v>-2.2929347477648698</v>
      </c>
      <c r="I302">
        <v>2.2268623556826901</v>
      </c>
      <c r="J302">
        <v>0.97683249751952705</v>
      </c>
    </row>
    <row r="303" spans="1:10" hidden="1" x14ac:dyDescent="0.2">
      <c r="A303" s="2" t="s">
        <v>23</v>
      </c>
      <c r="B303" t="s">
        <v>11</v>
      </c>
      <c r="C303">
        <v>1</v>
      </c>
      <c r="D303" t="s">
        <v>24</v>
      </c>
      <c r="E303">
        <v>0.542743851371429</v>
      </c>
      <c r="F303">
        <v>0.37662157183686001</v>
      </c>
      <c r="G303">
        <v>1.4410854076264299</v>
      </c>
      <c r="H303">
        <v>-0.225380908592799</v>
      </c>
      <c r="I303">
        <v>1.31086861133566</v>
      </c>
      <c r="J303">
        <v>0.15958609723698899</v>
      </c>
    </row>
    <row r="304" spans="1:10" hidden="1" x14ac:dyDescent="0.2">
      <c r="A304" s="2" t="s">
        <v>23</v>
      </c>
      <c r="B304" t="s">
        <v>13</v>
      </c>
      <c r="C304">
        <v>0</v>
      </c>
      <c r="D304" t="s">
        <v>24</v>
      </c>
      <c r="E304">
        <v>-0.22518891872602501</v>
      </c>
      <c r="F304">
        <v>1.0950223312518399</v>
      </c>
      <c r="G304">
        <v>-0.20564778662421199</v>
      </c>
      <c r="H304">
        <v>-2.40807604075771</v>
      </c>
      <c r="I304">
        <v>1.95769820330566</v>
      </c>
      <c r="J304">
        <v>0.83764639232998805</v>
      </c>
    </row>
    <row r="305" spans="1:11" hidden="1" x14ac:dyDescent="0.2">
      <c r="A305" s="2" t="s">
        <v>23</v>
      </c>
      <c r="B305" t="s">
        <v>13</v>
      </c>
      <c r="C305">
        <v>1</v>
      </c>
      <c r="D305" t="s">
        <v>24</v>
      </c>
      <c r="E305">
        <v>0.64997512580714201</v>
      </c>
      <c r="F305">
        <v>0.41416963593067102</v>
      </c>
      <c r="G305">
        <v>1.56934518955403</v>
      </c>
      <c r="H305">
        <v>-0.194729415762567</v>
      </c>
      <c r="I305">
        <v>1.4946796673768501</v>
      </c>
      <c r="J305">
        <v>0.12671977443639601</v>
      </c>
    </row>
    <row r="306" spans="1:11" hidden="1" x14ac:dyDescent="0.2">
      <c r="A306" s="2" t="s">
        <v>23</v>
      </c>
      <c r="B306" t="s">
        <v>17</v>
      </c>
      <c r="C306">
        <v>0</v>
      </c>
      <c r="D306" t="s">
        <v>24</v>
      </c>
      <c r="E306">
        <v>0.72010633716438199</v>
      </c>
      <c r="F306">
        <v>1.33972356629554</v>
      </c>
      <c r="G306">
        <v>0.53750367260877796</v>
      </c>
      <c r="H306">
        <v>-1.9505837816440901</v>
      </c>
      <c r="I306">
        <v>3.3907964559728501</v>
      </c>
      <c r="J306">
        <v>0.59257718892631295</v>
      </c>
    </row>
    <row r="307" spans="1:11" hidden="1" x14ac:dyDescent="0.2">
      <c r="A307" s="2" t="s">
        <v>23</v>
      </c>
      <c r="B307" t="s">
        <v>17</v>
      </c>
      <c r="C307">
        <v>1</v>
      </c>
      <c r="D307" t="s">
        <v>24</v>
      </c>
      <c r="E307">
        <v>1.5820013857157399E-3</v>
      </c>
      <c r="F307">
        <v>0.33867922221491997</v>
      </c>
      <c r="G307">
        <v>4.6710907606603101E-3</v>
      </c>
      <c r="H307">
        <v>-0.68915882633669101</v>
      </c>
      <c r="I307">
        <v>0.69232282910812304</v>
      </c>
      <c r="J307">
        <v>0.99630295302432703</v>
      </c>
    </row>
    <row r="308" spans="1:11" hidden="1" x14ac:dyDescent="0.2">
      <c r="A308" s="2" t="s">
        <v>23</v>
      </c>
      <c r="B308" t="s">
        <v>26</v>
      </c>
      <c r="C308">
        <v>0</v>
      </c>
      <c r="D308" t="s">
        <v>24</v>
      </c>
      <c r="E308">
        <v>0.51384063321917695</v>
      </c>
      <c r="F308">
        <v>1.33210433251213</v>
      </c>
      <c r="G308">
        <v>0.385736027335155</v>
      </c>
      <c r="H308">
        <v>-2.1416608206361798</v>
      </c>
      <c r="I308">
        <v>3.1693420870745399</v>
      </c>
      <c r="J308">
        <v>0.70082955958693105</v>
      </c>
    </row>
    <row r="309" spans="1:11" hidden="1" x14ac:dyDescent="0.2">
      <c r="A309" s="2" t="s">
        <v>23</v>
      </c>
      <c r="B309" t="s">
        <v>26</v>
      </c>
      <c r="C309">
        <v>1</v>
      </c>
      <c r="D309" t="s">
        <v>24</v>
      </c>
      <c r="E309">
        <v>0.114183871692858</v>
      </c>
      <c r="F309">
        <v>0.42608667141266199</v>
      </c>
      <c r="G309">
        <v>0.26798273533008898</v>
      </c>
      <c r="H309">
        <v>-0.75482562398355402</v>
      </c>
      <c r="I309">
        <v>0.98319336736926999</v>
      </c>
      <c r="J309">
        <v>0.79048774498846297</v>
      </c>
    </row>
    <row r="310" spans="1:11" hidden="1" x14ac:dyDescent="0.2">
      <c r="A310" s="2" t="s">
        <v>23</v>
      </c>
      <c r="B310" t="s">
        <v>9</v>
      </c>
      <c r="C310">
        <v>0</v>
      </c>
      <c r="D310" t="s">
        <v>24</v>
      </c>
      <c r="E310">
        <v>-4.1796143506848502E-2</v>
      </c>
      <c r="F310">
        <v>0.96634346431951201</v>
      </c>
      <c r="G310">
        <v>-4.3251850972346399E-2</v>
      </c>
      <c r="H310">
        <v>-1.9681666325096101</v>
      </c>
      <c r="I310">
        <v>1.8845743454959101</v>
      </c>
      <c r="J310">
        <v>0.96562049880720402</v>
      </c>
    </row>
    <row r="311" spans="1:11" hidden="1" x14ac:dyDescent="0.2">
      <c r="A311" s="2" t="s">
        <v>23</v>
      </c>
      <c r="B311" t="s">
        <v>9</v>
      </c>
      <c r="C311">
        <v>1</v>
      </c>
      <c r="D311" t="s">
        <v>24</v>
      </c>
      <c r="E311">
        <v>0.58087890365714201</v>
      </c>
      <c r="F311">
        <v>0.28473559802392101</v>
      </c>
      <c r="G311">
        <v>2.0400642128643902</v>
      </c>
      <c r="H311">
        <v>1.5682281963191899E-4</v>
      </c>
      <c r="I311">
        <v>1.16160098449465</v>
      </c>
      <c r="J311">
        <v>4.9941888097246999E-2</v>
      </c>
    </row>
    <row r="312" spans="1:11" s="42" customFormat="1" x14ac:dyDescent="0.2">
      <c r="A312" s="112" t="s">
        <v>226</v>
      </c>
      <c r="B312" s="118" t="s">
        <v>18</v>
      </c>
      <c r="C312" s="41" t="s">
        <v>66</v>
      </c>
      <c r="D312" s="41" t="s">
        <v>258</v>
      </c>
      <c r="E312" s="41">
        <v>-0.43419679691184399</v>
      </c>
      <c r="F312" s="41">
        <v>0.21981798472413999</v>
      </c>
      <c r="G312" s="41">
        <v>-1.9752560167301001</v>
      </c>
      <c r="H312" s="41">
        <v>-0.87005525447771503</v>
      </c>
      <c r="I312" s="41">
        <v>1.66166065402795E-3</v>
      </c>
      <c r="J312" s="41">
        <v>5.08638506875837E-2</v>
      </c>
      <c r="K312" s="41" t="s">
        <v>200</v>
      </c>
    </row>
    <row r="313" spans="1:11" x14ac:dyDescent="0.2">
      <c r="A313" s="68" t="s">
        <v>226</v>
      </c>
      <c r="B313" s="15" t="s">
        <v>18</v>
      </c>
      <c r="C313" s="159" t="s">
        <v>64</v>
      </c>
      <c r="D313" t="s">
        <v>258</v>
      </c>
      <c r="E313">
        <v>-7.0032735192856896E-2</v>
      </c>
      <c r="F313">
        <v>0.32999304084258702</v>
      </c>
      <c r="G313">
        <v>-0.21222488514921101</v>
      </c>
      <c r="H313">
        <v>-0.72786183936451698</v>
      </c>
      <c r="I313">
        <v>0.58779636897880305</v>
      </c>
      <c r="J313">
        <v>0.83253125195750799</v>
      </c>
    </row>
    <row r="314" spans="1:11" x14ac:dyDescent="0.2">
      <c r="A314" s="68" t="s">
        <v>226</v>
      </c>
      <c r="B314" s="15" t="s">
        <v>18</v>
      </c>
      <c r="C314" s="160" t="s">
        <v>65</v>
      </c>
      <c r="D314" s="11" t="s">
        <v>258</v>
      </c>
      <c r="E314" s="11">
        <v>-0.75765124645864601</v>
      </c>
      <c r="F314" s="11">
        <v>0.216286198949314</v>
      </c>
      <c r="G314" s="11">
        <v>-3.50300319733392</v>
      </c>
      <c r="H314" s="11">
        <v>-1.1987698574857399</v>
      </c>
      <c r="I314" s="11">
        <v>-0.31653263543155202</v>
      </c>
      <c r="J314" s="11">
        <v>1.4215521643032099E-3</v>
      </c>
      <c r="K314" s="11" t="s">
        <v>61</v>
      </c>
    </row>
    <row r="315" spans="1:11" x14ac:dyDescent="0.2">
      <c r="A315" s="112" t="s">
        <v>226</v>
      </c>
      <c r="B315" s="119" t="s">
        <v>25</v>
      </c>
      <c r="C315" s="42" t="s">
        <v>66</v>
      </c>
      <c r="D315" s="42" t="s">
        <v>258</v>
      </c>
      <c r="E315" s="42">
        <v>-0.32019732680650997</v>
      </c>
      <c r="F315" s="42">
        <v>0.23190134510554999</v>
      </c>
      <c r="G315" s="42">
        <v>-1.3807480360270099</v>
      </c>
      <c r="H315" s="42">
        <v>-0.78001485589541097</v>
      </c>
      <c r="I315" s="42">
        <v>0.139620202282392</v>
      </c>
      <c r="J315" s="42">
        <v>0.17028844150283601</v>
      </c>
      <c r="K315" s="42"/>
    </row>
    <row r="316" spans="1:11" x14ac:dyDescent="0.2">
      <c r="A316" s="68" t="s">
        <v>226</v>
      </c>
      <c r="B316" s="12" t="s">
        <v>25</v>
      </c>
      <c r="C316" s="159" t="s">
        <v>64</v>
      </c>
      <c r="D316" t="s">
        <v>258</v>
      </c>
      <c r="E316">
        <v>-4.5557764542857003E-2</v>
      </c>
      <c r="F316">
        <v>0.33525384863410701</v>
      </c>
      <c r="G316">
        <v>-0.13589035510992301</v>
      </c>
      <c r="H316">
        <v>-0.71387409737812302</v>
      </c>
      <c r="I316">
        <v>0.62275856829240905</v>
      </c>
      <c r="J316">
        <v>0.89228718416803998</v>
      </c>
    </row>
    <row r="317" spans="1:11" x14ac:dyDescent="0.2">
      <c r="A317" s="68" t="s">
        <v>226</v>
      </c>
      <c r="B317" s="12" t="s">
        <v>25</v>
      </c>
      <c r="C317" s="160" t="s">
        <v>65</v>
      </c>
      <c r="D317" s="11" t="s">
        <v>258</v>
      </c>
      <c r="E317" s="11">
        <v>-0.65290015588721795</v>
      </c>
      <c r="F317" s="11">
        <v>0.30322158396682303</v>
      </c>
      <c r="G317" s="11">
        <v>-2.1532113490926599</v>
      </c>
      <c r="H317" s="11">
        <v>-1.2713246536251701</v>
      </c>
      <c r="I317" s="11">
        <v>-3.4475658149264697E-2</v>
      </c>
      <c r="J317" s="11">
        <v>3.9194624831881499E-2</v>
      </c>
      <c r="K317" s="11" t="s">
        <v>61</v>
      </c>
    </row>
    <row r="318" spans="1:11" x14ac:dyDescent="0.2">
      <c r="A318" s="112" t="s">
        <v>226</v>
      </c>
      <c r="B318" s="120" t="s">
        <v>14</v>
      </c>
      <c r="C318" s="42" t="s">
        <v>66</v>
      </c>
      <c r="D318" s="42" t="s">
        <v>258</v>
      </c>
      <c r="E318" s="42">
        <v>-0.22130735316455699</v>
      </c>
      <c r="F318" s="42">
        <v>0.221402680511156</v>
      </c>
      <c r="G318" s="42">
        <v>-0.99956943905837403</v>
      </c>
      <c r="H318" s="42">
        <v>-0.66030796974124195</v>
      </c>
      <c r="I318" s="42">
        <v>0.217693263412129</v>
      </c>
      <c r="J318" s="42">
        <v>0.31981691803754903</v>
      </c>
      <c r="K318" s="42"/>
    </row>
    <row r="319" spans="1:11" x14ac:dyDescent="0.2">
      <c r="A319" s="68" t="s">
        <v>226</v>
      </c>
      <c r="B319" s="121" t="s">
        <v>14</v>
      </c>
      <c r="C319" s="159" t="s">
        <v>64</v>
      </c>
      <c r="D319" t="s">
        <v>258</v>
      </c>
      <c r="E319">
        <v>0.322174292890476</v>
      </c>
      <c r="F319">
        <v>0.32119461006947198</v>
      </c>
      <c r="G319">
        <v>1.0030501222321</v>
      </c>
      <c r="H319">
        <v>-0.31811546009118202</v>
      </c>
      <c r="I319">
        <v>0.96246404587213397</v>
      </c>
      <c r="J319">
        <v>0.31919586276427803</v>
      </c>
    </row>
    <row r="320" spans="1:11" x14ac:dyDescent="0.2">
      <c r="A320" s="68" t="s">
        <v>226</v>
      </c>
      <c r="B320" s="121" t="s">
        <v>14</v>
      </c>
      <c r="C320" s="160" t="s">
        <v>65</v>
      </c>
      <c r="D320" s="11" t="s">
        <v>258</v>
      </c>
      <c r="E320" s="11">
        <v>-0.74929888998872196</v>
      </c>
      <c r="F320" s="11">
        <v>0.23315005385006399</v>
      </c>
      <c r="G320" s="11">
        <v>-3.21380534816684</v>
      </c>
      <c r="H320" s="11">
        <v>-1.2248115598439699</v>
      </c>
      <c r="I320" s="11">
        <v>-0.27378622013346998</v>
      </c>
      <c r="J320" s="11">
        <v>3.0532235320976302E-3</v>
      </c>
      <c r="K320" s="11" t="s">
        <v>61</v>
      </c>
    </row>
    <row r="321" spans="1:11" x14ac:dyDescent="0.2">
      <c r="A321" s="112" t="s">
        <v>226</v>
      </c>
      <c r="B321" s="122" t="s">
        <v>7</v>
      </c>
      <c r="C321" s="41" t="s">
        <v>66</v>
      </c>
      <c r="D321" s="41" t="s">
        <v>258</v>
      </c>
      <c r="E321" s="41">
        <v>-0.353711643139692</v>
      </c>
      <c r="F321" s="41">
        <v>0.19788577533413301</v>
      </c>
      <c r="G321" s="41">
        <v>-1.7874536082365899</v>
      </c>
      <c r="H321" s="41">
        <v>-0.74608258093898705</v>
      </c>
      <c r="I321" s="41">
        <v>3.86592946596023E-2</v>
      </c>
      <c r="J321" s="41">
        <v>7.6749210545859495E-2</v>
      </c>
      <c r="K321" s="41" t="s">
        <v>200</v>
      </c>
    </row>
    <row r="322" spans="1:11" x14ac:dyDescent="0.2">
      <c r="A322" s="68" t="s">
        <v>226</v>
      </c>
      <c r="B322" s="123" t="s">
        <v>7</v>
      </c>
      <c r="C322" s="159" t="s">
        <v>64</v>
      </c>
      <c r="D322" t="s">
        <v>258</v>
      </c>
      <c r="E322">
        <v>-6.2643386033333207E-2</v>
      </c>
      <c r="F322">
        <v>0.26816989145590298</v>
      </c>
      <c r="G322">
        <v>-0.23359589584513099</v>
      </c>
      <c r="H322">
        <v>-0.597230294326345</v>
      </c>
      <c r="I322">
        <v>0.471943522259679</v>
      </c>
      <c r="J322">
        <v>0.81596160176107102</v>
      </c>
    </row>
    <row r="323" spans="1:11" x14ac:dyDescent="0.2">
      <c r="A323" s="68" t="s">
        <v>226</v>
      </c>
      <c r="B323" s="123" t="s">
        <v>7</v>
      </c>
      <c r="C323" s="160" t="s">
        <v>65</v>
      </c>
      <c r="D323" s="11" t="s">
        <v>258</v>
      </c>
      <c r="E323" s="11">
        <v>-0.66453044552255602</v>
      </c>
      <c r="F323" s="11">
        <v>0.309771238534848</v>
      </c>
      <c r="G323" s="11">
        <v>-2.1452296496784</v>
      </c>
      <c r="H323" s="11">
        <v>-1.29631305182125</v>
      </c>
      <c r="I323" s="11">
        <v>-3.2747839223864803E-2</v>
      </c>
      <c r="J323" s="11">
        <v>3.9879147309969901E-2</v>
      </c>
      <c r="K323" s="11" t="s">
        <v>61</v>
      </c>
    </row>
    <row r="324" spans="1:11" x14ac:dyDescent="0.2">
      <c r="A324" s="112" t="s">
        <v>226</v>
      </c>
      <c r="B324" s="124" t="s">
        <v>21</v>
      </c>
      <c r="C324" s="42" t="s">
        <v>66</v>
      </c>
      <c r="D324" s="42" t="s">
        <v>258</v>
      </c>
      <c r="E324" s="42">
        <v>1.13844916957507E-2</v>
      </c>
      <c r="F324" s="42">
        <v>0.25275986576409598</v>
      </c>
      <c r="G324" s="42">
        <v>4.50407411846626E-2</v>
      </c>
      <c r="H324" s="42">
        <v>-0.48979163074368398</v>
      </c>
      <c r="I324" s="42">
        <v>0.51256061413518605</v>
      </c>
      <c r="J324" s="42">
        <v>0.96416038349418798</v>
      </c>
      <c r="K324" s="42"/>
    </row>
    <row r="325" spans="1:11" x14ac:dyDescent="0.2">
      <c r="A325" s="68" t="s">
        <v>226</v>
      </c>
      <c r="B325" s="9" t="s">
        <v>21</v>
      </c>
      <c r="C325" s="159" t="s">
        <v>64</v>
      </c>
      <c r="D325" t="s">
        <v>258</v>
      </c>
      <c r="E325">
        <v>-0.13311695362619</v>
      </c>
      <c r="F325">
        <v>0.36151215628591099</v>
      </c>
      <c r="G325">
        <v>-0.36822262076551399</v>
      </c>
      <c r="H325">
        <v>-0.85377826608752705</v>
      </c>
      <c r="I325">
        <v>0.587544358835147</v>
      </c>
      <c r="J325">
        <v>0.71378764040618203</v>
      </c>
    </row>
    <row r="326" spans="1:11" x14ac:dyDescent="0.2">
      <c r="A326" s="68" t="s">
        <v>226</v>
      </c>
      <c r="B326" s="9" t="s">
        <v>21</v>
      </c>
      <c r="C326" s="159" t="s">
        <v>65</v>
      </c>
      <c r="D326" t="s">
        <v>258</v>
      </c>
      <c r="E326">
        <v>0.103557323199248</v>
      </c>
      <c r="F326">
        <v>0.35176858409558898</v>
      </c>
      <c r="G326">
        <v>0.29439048249717398</v>
      </c>
      <c r="H326">
        <v>-0.61387943408353096</v>
      </c>
      <c r="I326">
        <v>0.82099408048202704</v>
      </c>
      <c r="J326">
        <v>0.77042189508946401</v>
      </c>
    </row>
    <row r="327" spans="1:11" x14ac:dyDescent="0.2">
      <c r="A327" s="112" t="s">
        <v>226</v>
      </c>
      <c r="B327" s="125" t="s">
        <v>11</v>
      </c>
      <c r="C327" s="42" t="s">
        <v>66</v>
      </c>
      <c r="D327" s="42" t="s">
        <v>258</v>
      </c>
      <c r="E327" s="42">
        <v>-0.23664491201943899</v>
      </c>
      <c r="F327" s="42">
        <v>0.22941580488542801</v>
      </c>
      <c r="G327" s="42">
        <v>-1.03151093769508</v>
      </c>
      <c r="H327" s="42">
        <v>-0.69153407399625</v>
      </c>
      <c r="I327" s="42">
        <v>0.21824424995737199</v>
      </c>
      <c r="J327" s="42">
        <v>0.30467141159741301</v>
      </c>
      <c r="K327" s="42"/>
    </row>
    <row r="328" spans="1:11" x14ac:dyDescent="0.2">
      <c r="A328" s="68" t="s">
        <v>226</v>
      </c>
      <c r="B328" s="13" t="s">
        <v>11</v>
      </c>
      <c r="C328" s="159" t="s">
        <v>64</v>
      </c>
      <c r="D328" t="s">
        <v>258</v>
      </c>
      <c r="E328">
        <v>-2.1417317476182599E-3</v>
      </c>
      <c r="F328">
        <v>0.33419878405921599</v>
      </c>
      <c r="G328">
        <v>-6.4085563735586997E-3</v>
      </c>
      <c r="H328">
        <v>-0.66835483179236399</v>
      </c>
      <c r="I328">
        <v>0.66407136829712698</v>
      </c>
      <c r="J328">
        <v>0.99490447029158302</v>
      </c>
    </row>
    <row r="329" spans="1:11" x14ac:dyDescent="0.2">
      <c r="A329" s="68" t="s">
        <v>226</v>
      </c>
      <c r="B329" s="13" t="s">
        <v>11</v>
      </c>
      <c r="C329" s="159" t="s">
        <v>65</v>
      </c>
      <c r="D329" t="s">
        <v>258</v>
      </c>
      <c r="E329">
        <v>-0.31788158067669198</v>
      </c>
      <c r="F329">
        <v>0.27639863251864799</v>
      </c>
      <c r="G329">
        <v>-1.15008376770911</v>
      </c>
      <c r="H329">
        <v>-0.881600308264054</v>
      </c>
      <c r="I329">
        <v>0.24583714691066999</v>
      </c>
      <c r="J329">
        <v>0.25890452915860301</v>
      </c>
    </row>
    <row r="330" spans="1:11" x14ac:dyDescent="0.2">
      <c r="A330" s="112" t="s">
        <v>226</v>
      </c>
      <c r="B330" s="126" t="s">
        <v>13</v>
      </c>
      <c r="C330" s="42" t="s">
        <v>66</v>
      </c>
      <c r="D330" s="42" t="s">
        <v>258</v>
      </c>
      <c r="E330" s="42">
        <v>-0.25937793365732298</v>
      </c>
      <c r="F330" s="42">
        <v>0.22459197833676101</v>
      </c>
      <c r="G330" s="42">
        <v>-1.1548851191310301</v>
      </c>
      <c r="H330" s="42">
        <v>-0.70470233867529897</v>
      </c>
      <c r="I330" s="42">
        <v>0.18594647136065301</v>
      </c>
      <c r="J330" s="42">
        <v>0.25075899355571502</v>
      </c>
      <c r="K330" s="42"/>
    </row>
    <row r="331" spans="1:11" x14ac:dyDescent="0.2">
      <c r="A331" s="68" t="s">
        <v>226</v>
      </c>
      <c r="B331" s="14" t="s">
        <v>13</v>
      </c>
      <c r="C331" s="159" t="s">
        <v>64</v>
      </c>
      <c r="D331" t="s">
        <v>258</v>
      </c>
      <c r="E331">
        <v>0.145420563342857</v>
      </c>
      <c r="F331">
        <v>0.32244802617893698</v>
      </c>
      <c r="G331">
        <v>0.45098915650411903</v>
      </c>
      <c r="H331">
        <v>-0.49736782898688803</v>
      </c>
      <c r="I331">
        <v>0.78820895567260196</v>
      </c>
      <c r="J331">
        <v>0.65335270517794497</v>
      </c>
    </row>
    <row r="332" spans="1:11" x14ac:dyDescent="0.2">
      <c r="A332" s="68" t="s">
        <v>226</v>
      </c>
      <c r="B332" s="14" t="s">
        <v>13</v>
      </c>
      <c r="C332" s="160" t="s">
        <v>65</v>
      </c>
      <c r="D332" s="11" t="s">
        <v>258</v>
      </c>
      <c r="E332" s="11">
        <v>-0.71035902301879705</v>
      </c>
      <c r="F332" s="11">
        <v>0.28491621150284802</v>
      </c>
      <c r="G332" s="11">
        <v>-2.4932207938322102</v>
      </c>
      <c r="H332" s="11">
        <v>-1.29144946747518</v>
      </c>
      <c r="I332" s="11">
        <v>-0.129268578562415</v>
      </c>
      <c r="J332" s="11">
        <v>1.8206346182340901E-2</v>
      </c>
      <c r="K332" s="11" t="s">
        <v>61</v>
      </c>
    </row>
    <row r="333" spans="1:11" x14ac:dyDescent="0.2">
      <c r="A333" s="112" t="s">
        <v>226</v>
      </c>
      <c r="B333" s="128" t="s">
        <v>17</v>
      </c>
      <c r="C333" s="42" t="s">
        <v>66</v>
      </c>
      <c r="D333" s="42" t="s">
        <v>258</v>
      </c>
      <c r="E333" s="42">
        <v>-0.113519056638336</v>
      </c>
      <c r="F333" s="42">
        <v>0.256510805704314</v>
      </c>
      <c r="G333" s="42">
        <v>-0.44255077803307902</v>
      </c>
      <c r="H333" s="42">
        <v>-0.62213260008232396</v>
      </c>
      <c r="I333" s="42">
        <v>0.39509448680565101</v>
      </c>
      <c r="J333" s="42">
        <v>0.65900100130684203</v>
      </c>
      <c r="K333" s="42"/>
    </row>
    <row r="334" spans="1:11" x14ac:dyDescent="0.2">
      <c r="A334" s="68" t="s">
        <v>226</v>
      </c>
      <c r="B334" s="127" t="s">
        <v>17</v>
      </c>
      <c r="C334" s="159" t="s">
        <v>64</v>
      </c>
      <c r="D334" t="s">
        <v>258</v>
      </c>
      <c r="E334">
        <v>-0.24625389222142799</v>
      </c>
      <c r="F334">
        <v>0.39467135402630399</v>
      </c>
      <c r="G334">
        <v>-0.62394670834158406</v>
      </c>
      <c r="H334">
        <v>-1.0330168572779701</v>
      </c>
      <c r="I334">
        <v>0.54050907283511895</v>
      </c>
      <c r="J334">
        <v>0.53463451344599899</v>
      </c>
    </row>
    <row r="335" spans="1:11" x14ac:dyDescent="0.2">
      <c r="A335" s="68" t="s">
        <v>226</v>
      </c>
      <c r="B335" s="127" t="s">
        <v>17</v>
      </c>
      <c r="C335" s="159" t="s">
        <v>65</v>
      </c>
      <c r="D335" t="s">
        <v>258</v>
      </c>
      <c r="E335">
        <v>4.1491335142857098E-2</v>
      </c>
      <c r="F335">
        <v>0.24559078406073701</v>
      </c>
      <c r="G335">
        <v>0.16894500052817901</v>
      </c>
      <c r="H335">
        <v>-0.459394371260052</v>
      </c>
      <c r="I335">
        <v>0.54237704154576605</v>
      </c>
      <c r="J335">
        <v>0.86693746427289797</v>
      </c>
    </row>
    <row r="336" spans="1:11" x14ac:dyDescent="0.2">
      <c r="A336" s="112" t="s">
        <v>226</v>
      </c>
      <c r="B336" s="129" t="s">
        <v>26</v>
      </c>
      <c r="C336" s="42" t="s">
        <v>66</v>
      </c>
      <c r="D336" s="42" t="s">
        <v>258</v>
      </c>
      <c r="E336" s="42">
        <v>-0.20337251201310999</v>
      </c>
      <c r="F336" s="42">
        <v>0.26237365217735098</v>
      </c>
      <c r="G336" s="42">
        <v>-0.77512551403462104</v>
      </c>
      <c r="H336" s="42">
        <v>-0.72361099699175102</v>
      </c>
      <c r="I336" s="42">
        <v>0.31686597296553098</v>
      </c>
      <c r="J336" s="42">
        <v>0.44000764987594698</v>
      </c>
      <c r="K336" s="42"/>
    </row>
    <row r="337" spans="1:11" x14ac:dyDescent="0.2">
      <c r="A337" s="68" t="s">
        <v>226</v>
      </c>
      <c r="B337" s="53" t="s">
        <v>26</v>
      </c>
      <c r="C337" s="159" t="s">
        <v>64</v>
      </c>
      <c r="D337" t="s">
        <v>258</v>
      </c>
      <c r="E337">
        <v>-0.238274215516666</v>
      </c>
      <c r="F337">
        <v>0.39210052692883002</v>
      </c>
      <c r="G337">
        <v>-0.60768654758761698</v>
      </c>
      <c r="H337">
        <v>-1.0199123304182101</v>
      </c>
      <c r="I337">
        <v>0.54336389938487895</v>
      </c>
      <c r="J337">
        <v>0.54530736953824899</v>
      </c>
    </row>
    <row r="338" spans="1:11" x14ac:dyDescent="0.2">
      <c r="A338" s="68" t="s">
        <v>226</v>
      </c>
      <c r="B338" s="53" t="s">
        <v>26</v>
      </c>
      <c r="C338" s="159" t="s">
        <v>65</v>
      </c>
      <c r="D338" t="s">
        <v>258</v>
      </c>
      <c r="E338">
        <v>-0.15402585704887201</v>
      </c>
      <c r="F338">
        <v>0.308234686180897</v>
      </c>
      <c r="G338">
        <v>-0.49970319355452802</v>
      </c>
      <c r="H338">
        <v>-0.78267464416058996</v>
      </c>
      <c r="I338">
        <v>0.47462293006284501</v>
      </c>
      <c r="J338">
        <v>0.62081255174779504</v>
      </c>
    </row>
    <row r="339" spans="1:11" x14ac:dyDescent="0.2">
      <c r="A339" s="112" t="s">
        <v>226</v>
      </c>
      <c r="B339" s="130" t="s">
        <v>9</v>
      </c>
      <c r="C339" s="43" t="s">
        <v>66</v>
      </c>
      <c r="D339" s="43" t="s">
        <v>233</v>
      </c>
      <c r="E339" s="43">
        <v>0.44803554486482799</v>
      </c>
      <c r="F339" s="43">
        <v>0.19168680088404499</v>
      </c>
      <c r="G339" s="43">
        <v>2.3373312236341901</v>
      </c>
      <c r="H339" s="43">
        <v>6.7956028287034106E-2</v>
      </c>
      <c r="I339" s="43">
        <v>0.82811506144262303</v>
      </c>
      <c r="J339" s="43">
        <v>2.1318724655811801E-2</v>
      </c>
      <c r="K339" s="43" t="s">
        <v>61</v>
      </c>
    </row>
    <row r="340" spans="1:11" x14ac:dyDescent="0.2">
      <c r="A340" s="68" t="s">
        <v>226</v>
      </c>
      <c r="B340" s="5" t="s">
        <v>9</v>
      </c>
      <c r="C340" s="159" t="s">
        <v>64</v>
      </c>
      <c r="D340" t="s">
        <v>258</v>
      </c>
      <c r="E340">
        <v>-0.18955105932381</v>
      </c>
      <c r="F340">
        <v>0.28400081721750298</v>
      </c>
      <c r="G340">
        <v>-0.66743138692675497</v>
      </c>
      <c r="H340">
        <v>-0.75569634134909902</v>
      </c>
      <c r="I340">
        <v>0.37659422270148002</v>
      </c>
      <c r="J340">
        <v>0.50663023726253598</v>
      </c>
    </row>
    <row r="341" spans="1:11" x14ac:dyDescent="0.2">
      <c r="A341" s="68" t="s">
        <v>226</v>
      </c>
      <c r="B341" s="5" t="s">
        <v>9</v>
      </c>
      <c r="C341" s="160" t="s">
        <v>65</v>
      </c>
      <c r="D341" s="11" t="s">
        <v>258</v>
      </c>
      <c r="E341" s="11">
        <v>-0.55584711247744301</v>
      </c>
      <c r="F341" s="11">
        <v>0.19604277197381301</v>
      </c>
      <c r="G341" s="11">
        <v>-2.83533591614228</v>
      </c>
      <c r="H341" s="11">
        <v>-0.95567898198685997</v>
      </c>
      <c r="I341" s="11">
        <v>-0.15601524296802599</v>
      </c>
      <c r="J341" s="11">
        <v>7.9897814319307807E-3</v>
      </c>
      <c r="K341" s="11" t="s">
        <v>61</v>
      </c>
    </row>
    <row r="342" spans="1:11" hidden="1" x14ac:dyDescent="0.2">
      <c r="A342" s="35" t="s">
        <v>85</v>
      </c>
      <c r="B342" t="s">
        <v>18</v>
      </c>
      <c r="C342">
        <v>0</v>
      </c>
      <c r="D342" t="s">
        <v>183</v>
      </c>
      <c r="E342">
        <v>-0.20563684105053501</v>
      </c>
      <c r="F342">
        <v>0.31304591191018799</v>
      </c>
      <c r="G342">
        <v>-0.65689035769785797</v>
      </c>
      <c r="H342">
        <v>-0.82998722545246695</v>
      </c>
      <c r="I342">
        <v>0.41871354335139699</v>
      </c>
      <c r="J342">
        <v>0.513405359192044</v>
      </c>
    </row>
    <row r="343" spans="1:11" hidden="1" x14ac:dyDescent="0.2">
      <c r="A343" s="35" t="s">
        <v>85</v>
      </c>
      <c r="B343" t="s">
        <v>18</v>
      </c>
      <c r="C343">
        <v>0</v>
      </c>
      <c r="D343" t="s">
        <v>104</v>
      </c>
      <c r="E343">
        <v>0.10246909232792301</v>
      </c>
      <c r="F343">
        <v>0.28654182430786401</v>
      </c>
      <c r="G343">
        <v>0.357606058296846</v>
      </c>
      <c r="H343">
        <v>-0.46902055614630001</v>
      </c>
      <c r="I343">
        <v>0.67395874080214502</v>
      </c>
      <c r="J343">
        <v>0.72171413602693302</v>
      </c>
    </row>
    <row r="344" spans="1:11" hidden="1" x14ac:dyDescent="0.2">
      <c r="A344" s="35" t="s">
        <v>85</v>
      </c>
      <c r="B344" t="s">
        <v>18</v>
      </c>
      <c r="C344">
        <v>0</v>
      </c>
      <c r="D344" t="s">
        <v>103</v>
      </c>
      <c r="E344">
        <v>-0.33647680094004501</v>
      </c>
      <c r="F344">
        <v>0.25732215449058499</v>
      </c>
      <c r="G344">
        <v>-1.3076091392370099</v>
      </c>
      <c r="H344">
        <v>-0.84968965553698494</v>
      </c>
      <c r="I344">
        <v>0.17673605365689499</v>
      </c>
      <c r="J344">
        <v>0.19528436073695399</v>
      </c>
    </row>
    <row r="345" spans="1:11" hidden="1" x14ac:dyDescent="0.2">
      <c r="A345" s="35" t="s">
        <v>85</v>
      </c>
      <c r="B345" t="s">
        <v>18</v>
      </c>
      <c r="C345">
        <v>1</v>
      </c>
      <c r="D345" t="s">
        <v>183</v>
      </c>
      <c r="E345">
        <v>-0.32982484922765998</v>
      </c>
      <c r="F345">
        <v>0.272343736385739</v>
      </c>
      <c r="G345">
        <v>-1.2110608953403901</v>
      </c>
      <c r="H345">
        <v>-0.88683033173294801</v>
      </c>
      <c r="I345">
        <v>0.227180633277628</v>
      </c>
      <c r="J345">
        <v>0.23564926231050101</v>
      </c>
    </row>
    <row r="346" spans="1:11" hidden="1" x14ac:dyDescent="0.2">
      <c r="A346" s="35" t="s">
        <v>85</v>
      </c>
      <c r="B346" t="s">
        <v>18</v>
      </c>
      <c r="C346">
        <v>1</v>
      </c>
      <c r="D346" t="s">
        <v>104</v>
      </c>
      <c r="E346">
        <v>0.13202850502976199</v>
      </c>
      <c r="F346">
        <v>0.260496978468507</v>
      </c>
      <c r="G346">
        <v>0.50683315332858503</v>
      </c>
      <c r="H346">
        <v>-0.40074763702003402</v>
      </c>
      <c r="I346">
        <v>0.664804647079558</v>
      </c>
      <c r="J346">
        <v>0.61610418056328298</v>
      </c>
    </row>
    <row r="347" spans="1:11" hidden="1" x14ac:dyDescent="0.2">
      <c r="A347" s="35" t="s">
        <v>85</v>
      </c>
      <c r="B347" t="s">
        <v>18</v>
      </c>
      <c r="C347">
        <v>1</v>
      </c>
      <c r="D347" t="s">
        <v>103</v>
      </c>
      <c r="E347">
        <v>7.64778135689438E-2</v>
      </c>
      <c r="F347">
        <v>0.24808514835414699</v>
      </c>
      <c r="G347">
        <v>0.30827243821855099</v>
      </c>
      <c r="H347">
        <v>-0.43091328561784598</v>
      </c>
      <c r="I347">
        <v>0.58386891275573405</v>
      </c>
      <c r="J347">
        <v>0.76007854055632396</v>
      </c>
    </row>
    <row r="348" spans="1:11" hidden="1" x14ac:dyDescent="0.2">
      <c r="A348" s="35" t="s">
        <v>85</v>
      </c>
      <c r="B348" t="s">
        <v>25</v>
      </c>
      <c r="C348">
        <v>0</v>
      </c>
      <c r="D348" t="s">
        <v>183</v>
      </c>
      <c r="E348">
        <v>-0.29620630266234599</v>
      </c>
      <c r="F348">
        <v>0.31312995109356501</v>
      </c>
      <c r="G348">
        <v>-0.94595327475984003</v>
      </c>
      <c r="H348">
        <v>-0.92072429793044797</v>
      </c>
      <c r="I348">
        <v>0.32831169260575599</v>
      </c>
      <c r="J348">
        <v>0.34742639119699398</v>
      </c>
    </row>
    <row r="349" spans="1:11" hidden="1" x14ac:dyDescent="0.2">
      <c r="A349" s="35" t="s">
        <v>85</v>
      </c>
      <c r="B349" t="s">
        <v>25</v>
      </c>
      <c r="C349">
        <v>0</v>
      </c>
      <c r="D349" t="s">
        <v>104</v>
      </c>
      <c r="E349">
        <v>0.19095552424819701</v>
      </c>
      <c r="F349">
        <v>0.286618748298889</v>
      </c>
      <c r="G349">
        <v>0.666235287752588</v>
      </c>
      <c r="H349">
        <v>-0.38068754428851198</v>
      </c>
      <c r="I349">
        <v>0.76259859278490505</v>
      </c>
      <c r="J349">
        <v>0.50745053647639704</v>
      </c>
    </row>
    <row r="350" spans="1:11" hidden="1" x14ac:dyDescent="0.2">
      <c r="A350" s="35" t="s">
        <v>85</v>
      </c>
      <c r="B350" t="s">
        <v>25</v>
      </c>
      <c r="C350">
        <v>0</v>
      </c>
      <c r="D350" t="s">
        <v>103</v>
      </c>
      <c r="E350">
        <v>-0.41372754215707402</v>
      </c>
      <c r="F350">
        <v>0.25739123427379001</v>
      </c>
      <c r="G350">
        <v>-1.6073878480142301</v>
      </c>
      <c r="H350">
        <v>-0.92707817203731402</v>
      </c>
      <c r="I350">
        <v>9.9623087723164999E-2</v>
      </c>
      <c r="J350">
        <v>0.112470996176458</v>
      </c>
    </row>
    <row r="351" spans="1:11" hidden="1" x14ac:dyDescent="0.2">
      <c r="A351" s="35" t="s">
        <v>85</v>
      </c>
      <c r="B351" t="s">
        <v>25</v>
      </c>
      <c r="C351">
        <v>1</v>
      </c>
      <c r="D351" t="s">
        <v>183</v>
      </c>
      <c r="E351">
        <v>-0.36584010275458601</v>
      </c>
      <c r="F351">
        <v>0.34293928112299898</v>
      </c>
      <c r="G351">
        <v>-1.0667780650749501</v>
      </c>
      <c r="H351">
        <v>-1.06722968595902</v>
      </c>
      <c r="I351">
        <v>0.335549480449852</v>
      </c>
      <c r="J351">
        <v>0.29487291240216201</v>
      </c>
    </row>
    <row r="352" spans="1:11" hidden="1" x14ac:dyDescent="0.2">
      <c r="A352" s="35" t="s">
        <v>85</v>
      </c>
      <c r="B352" t="s">
        <v>25</v>
      </c>
      <c r="C352">
        <v>1</v>
      </c>
      <c r="D352" t="s">
        <v>104</v>
      </c>
      <c r="E352">
        <v>5.5177883202380901E-2</v>
      </c>
      <c r="F352">
        <v>0.328021667456939</v>
      </c>
      <c r="G352">
        <v>0.168214141554001</v>
      </c>
      <c r="H352">
        <v>-0.61570175434234797</v>
      </c>
      <c r="I352">
        <v>0.72605752074710905</v>
      </c>
      <c r="J352">
        <v>0.86758250208560805</v>
      </c>
    </row>
    <row r="353" spans="1:10" hidden="1" x14ac:dyDescent="0.2">
      <c r="A353" s="35" t="s">
        <v>85</v>
      </c>
      <c r="B353" t="s">
        <v>25</v>
      </c>
      <c r="C353">
        <v>1</v>
      </c>
      <c r="D353" t="s">
        <v>103</v>
      </c>
      <c r="E353">
        <v>0.327699170620872</v>
      </c>
      <c r="F353">
        <v>0.31239250648071298</v>
      </c>
      <c r="G353">
        <v>1.04899817960615</v>
      </c>
      <c r="H353">
        <v>-0.31121524361361502</v>
      </c>
      <c r="I353">
        <v>0.96661358485535898</v>
      </c>
      <c r="J353">
        <v>0.302842963991929</v>
      </c>
    </row>
    <row r="354" spans="1:10" hidden="1" x14ac:dyDescent="0.2">
      <c r="A354" s="35" t="s">
        <v>85</v>
      </c>
      <c r="B354" t="s">
        <v>14</v>
      </c>
      <c r="C354">
        <v>0</v>
      </c>
      <c r="D354" t="s">
        <v>183</v>
      </c>
      <c r="E354">
        <v>-2.7234541808230501E-2</v>
      </c>
      <c r="F354">
        <v>0.30851774604162402</v>
      </c>
      <c r="G354">
        <v>-8.8275446575303701E-2</v>
      </c>
      <c r="H354">
        <v>-0.64255378415364295</v>
      </c>
      <c r="I354">
        <v>0.58808470053718198</v>
      </c>
      <c r="J354">
        <v>0.92990981527559102</v>
      </c>
    </row>
    <row r="355" spans="1:10" hidden="1" x14ac:dyDescent="0.2">
      <c r="A355" s="35" t="s">
        <v>85</v>
      </c>
      <c r="B355" t="s">
        <v>14</v>
      </c>
      <c r="C355">
        <v>0</v>
      </c>
      <c r="D355" t="s">
        <v>104</v>
      </c>
      <c r="E355">
        <v>0.15459352300613299</v>
      </c>
      <c r="F355">
        <v>0.28239703640493402</v>
      </c>
      <c r="G355">
        <v>0.54743323433627999</v>
      </c>
      <c r="H355">
        <v>-0.408629606654066</v>
      </c>
      <c r="I355">
        <v>0.71781665266633299</v>
      </c>
      <c r="J355">
        <v>0.58582237237777302</v>
      </c>
    </row>
    <row r="356" spans="1:10" hidden="1" x14ac:dyDescent="0.2">
      <c r="A356" s="35" t="s">
        <v>85</v>
      </c>
      <c r="B356" t="s">
        <v>14</v>
      </c>
      <c r="C356">
        <v>0</v>
      </c>
      <c r="D356" t="s">
        <v>103</v>
      </c>
      <c r="E356">
        <v>-0.25924554922487802</v>
      </c>
      <c r="F356">
        <v>0.253600025074872</v>
      </c>
      <c r="G356">
        <v>-1.0222615283588401</v>
      </c>
      <c r="H356">
        <v>-0.76503485078030597</v>
      </c>
      <c r="I356">
        <v>0.24654375233054901</v>
      </c>
      <c r="J356">
        <v>0.31017710603090098</v>
      </c>
    </row>
    <row r="357" spans="1:10" hidden="1" x14ac:dyDescent="0.2">
      <c r="A357" s="35" t="s">
        <v>85</v>
      </c>
      <c r="B357" t="s">
        <v>14</v>
      </c>
      <c r="C357">
        <v>1</v>
      </c>
      <c r="D357" t="s">
        <v>183</v>
      </c>
      <c r="E357">
        <v>-0.32246079731760802</v>
      </c>
      <c r="F357">
        <v>0.28927781921392698</v>
      </c>
      <c r="G357">
        <v>-1.11470972158823</v>
      </c>
      <c r="H357">
        <v>-0.91410036798543703</v>
      </c>
      <c r="I357">
        <v>0.269178773350222</v>
      </c>
      <c r="J357">
        <v>0.27412791846046197</v>
      </c>
    </row>
    <row r="358" spans="1:10" hidden="1" x14ac:dyDescent="0.2">
      <c r="A358" s="35" t="s">
        <v>85</v>
      </c>
      <c r="B358" t="s">
        <v>14</v>
      </c>
      <c r="C358">
        <v>1</v>
      </c>
      <c r="D358" t="s">
        <v>104</v>
      </c>
      <c r="E358">
        <v>4.4030263833333402E-2</v>
      </c>
      <c r="F358">
        <v>0.27669444079468503</v>
      </c>
      <c r="G358">
        <v>0.15912955716376401</v>
      </c>
      <c r="H358">
        <v>-0.52187340829328899</v>
      </c>
      <c r="I358">
        <v>0.60993393595995604</v>
      </c>
      <c r="J358">
        <v>0.87466988009637503</v>
      </c>
    </row>
    <row r="359" spans="1:10" hidden="1" x14ac:dyDescent="0.2">
      <c r="A359" s="35" t="s">
        <v>85</v>
      </c>
      <c r="B359" t="s">
        <v>14</v>
      </c>
      <c r="C359">
        <v>1</v>
      </c>
      <c r="D359" t="s">
        <v>103</v>
      </c>
      <c r="E359">
        <v>-4.9762676674137397E-2</v>
      </c>
      <c r="F359">
        <v>0.26351085450926198</v>
      </c>
      <c r="G359">
        <v>-0.18884488370246</v>
      </c>
      <c r="H359">
        <v>-0.58870288734019705</v>
      </c>
      <c r="I359">
        <v>0.48917753399192299</v>
      </c>
      <c r="J359">
        <v>0.85152979644532101</v>
      </c>
    </row>
    <row r="360" spans="1:10" hidden="1" x14ac:dyDescent="0.2">
      <c r="A360" s="35" t="s">
        <v>85</v>
      </c>
      <c r="B360" t="s">
        <v>7</v>
      </c>
      <c r="C360">
        <v>0</v>
      </c>
      <c r="D360" t="s">
        <v>183</v>
      </c>
      <c r="E360">
        <v>-0.35774505590303002</v>
      </c>
      <c r="F360">
        <v>0.25064440365801399</v>
      </c>
      <c r="G360">
        <v>-1.4273011911773901</v>
      </c>
      <c r="H360">
        <v>-0.85763955641633105</v>
      </c>
      <c r="I360">
        <v>0.14214944461027099</v>
      </c>
      <c r="J360">
        <v>0.15793891226291201</v>
      </c>
    </row>
    <row r="361" spans="1:10" hidden="1" x14ac:dyDescent="0.2">
      <c r="A361" s="35" t="s">
        <v>85</v>
      </c>
      <c r="B361" t="s">
        <v>7</v>
      </c>
      <c r="C361">
        <v>0</v>
      </c>
      <c r="D361" t="s">
        <v>104</v>
      </c>
      <c r="E361">
        <v>6.0867537608586098E-2</v>
      </c>
      <c r="F361">
        <v>0.229423550809151</v>
      </c>
      <c r="G361">
        <v>0.26530640552773799</v>
      </c>
      <c r="H361">
        <v>-0.39670330643950702</v>
      </c>
      <c r="I361">
        <v>0.51843838165667899</v>
      </c>
      <c r="J361">
        <v>0.79155317944114201</v>
      </c>
    </row>
    <row r="362" spans="1:10" hidden="1" x14ac:dyDescent="0.2">
      <c r="A362" s="35" t="s">
        <v>85</v>
      </c>
      <c r="B362" t="s">
        <v>7</v>
      </c>
      <c r="C362">
        <v>0</v>
      </c>
      <c r="D362" t="s">
        <v>103</v>
      </c>
      <c r="E362">
        <v>-0.32336753426174603</v>
      </c>
      <c r="F362">
        <v>0.20602843067566301</v>
      </c>
      <c r="G362">
        <v>-1.5695286966040201</v>
      </c>
      <c r="H362">
        <v>-0.73427828248126603</v>
      </c>
      <c r="I362">
        <v>8.7543213957773897E-2</v>
      </c>
      <c r="J362">
        <v>0.12103442101440599</v>
      </c>
    </row>
    <row r="363" spans="1:10" hidden="1" x14ac:dyDescent="0.2">
      <c r="A363" s="35" t="s">
        <v>85</v>
      </c>
      <c r="B363" t="s">
        <v>7</v>
      </c>
      <c r="C363">
        <v>1</v>
      </c>
      <c r="D363" t="s">
        <v>183</v>
      </c>
      <c r="E363">
        <v>-0.190894566266992</v>
      </c>
      <c r="F363">
        <v>0.34401694413954498</v>
      </c>
      <c r="G363">
        <v>-0.55489873251580002</v>
      </c>
      <c r="H363">
        <v>-0.89448821781709997</v>
      </c>
      <c r="I363">
        <v>0.51269908528311603</v>
      </c>
      <c r="J363">
        <v>0.58321896492085901</v>
      </c>
    </row>
    <row r="364" spans="1:10" hidden="1" x14ac:dyDescent="0.2">
      <c r="A364" s="35" t="s">
        <v>85</v>
      </c>
      <c r="B364" t="s">
        <v>7</v>
      </c>
      <c r="C364">
        <v>1</v>
      </c>
      <c r="D364" t="s">
        <v>104</v>
      </c>
      <c r="E364">
        <v>3.60490686309523E-3</v>
      </c>
      <c r="F364">
        <v>0.32905245290235902</v>
      </c>
      <c r="G364">
        <v>1.09554170810723E-2</v>
      </c>
      <c r="H364">
        <v>-0.66938292362928398</v>
      </c>
      <c r="I364">
        <v>0.67659273735547498</v>
      </c>
      <c r="J364">
        <v>0.99133403733477599</v>
      </c>
    </row>
    <row r="365" spans="1:10" hidden="1" x14ac:dyDescent="0.2">
      <c r="A365" s="35" t="s">
        <v>85</v>
      </c>
      <c r="B365" t="s">
        <v>7</v>
      </c>
      <c r="C365">
        <v>1</v>
      </c>
      <c r="D365" t="s">
        <v>103</v>
      </c>
      <c r="E365">
        <v>0.54161547100792495</v>
      </c>
      <c r="F365">
        <v>0.313374178366704</v>
      </c>
      <c r="G365">
        <v>1.7283347142090899</v>
      </c>
      <c r="H365">
        <v>-9.9306687666639901E-2</v>
      </c>
      <c r="I365">
        <v>1.1825376296824901</v>
      </c>
      <c r="J365">
        <v>9.4563664797352801E-2</v>
      </c>
    </row>
    <row r="366" spans="1:10" hidden="1" x14ac:dyDescent="0.2">
      <c r="A366" s="35" t="s">
        <v>85</v>
      </c>
      <c r="B366" t="s">
        <v>21</v>
      </c>
      <c r="C366">
        <v>0</v>
      </c>
      <c r="D366" t="s">
        <v>183</v>
      </c>
      <c r="E366">
        <v>-0.70754373650570401</v>
      </c>
      <c r="F366">
        <v>0.32669662052509801</v>
      </c>
      <c r="G366">
        <v>-2.1657516241474202</v>
      </c>
      <c r="H366">
        <v>-1.3591196007711901</v>
      </c>
      <c r="I366">
        <v>-5.5967872240219999E-2</v>
      </c>
      <c r="J366">
        <v>3.3739010444175703E-2</v>
      </c>
    </row>
    <row r="367" spans="1:10" hidden="1" x14ac:dyDescent="0.2">
      <c r="A367" s="35" t="s">
        <v>85</v>
      </c>
      <c r="B367" t="s">
        <v>21</v>
      </c>
      <c r="C367">
        <v>0</v>
      </c>
      <c r="D367" t="s">
        <v>104</v>
      </c>
      <c r="E367">
        <v>0.40362690804761903</v>
      </c>
      <c r="F367">
        <v>0.29903679325904298</v>
      </c>
      <c r="G367">
        <v>1.3497566759217301</v>
      </c>
      <c r="H367">
        <v>-0.19278317021326499</v>
      </c>
      <c r="I367">
        <v>1.0000369863084999</v>
      </c>
      <c r="J367">
        <v>0.181442930865231</v>
      </c>
    </row>
    <row r="368" spans="1:10" hidden="1" x14ac:dyDescent="0.2">
      <c r="A368" s="35" t="s">
        <v>85</v>
      </c>
      <c r="B368" t="s">
        <v>21</v>
      </c>
      <c r="C368">
        <v>0</v>
      </c>
      <c r="D368" t="s">
        <v>103</v>
      </c>
      <c r="E368">
        <v>-0.32564328359014699</v>
      </c>
      <c r="F368">
        <v>0.26854296785204401</v>
      </c>
      <c r="G368">
        <v>-1.2126300911724599</v>
      </c>
      <c r="H368">
        <v>-0.86123534477943897</v>
      </c>
      <c r="I368">
        <v>0.20994877759914499</v>
      </c>
      <c r="J368">
        <v>0.229347960403671</v>
      </c>
    </row>
    <row r="369" spans="1:10" hidden="1" x14ac:dyDescent="0.2">
      <c r="A369" s="35" t="s">
        <v>85</v>
      </c>
      <c r="B369" t="s">
        <v>21</v>
      </c>
      <c r="C369">
        <v>1</v>
      </c>
      <c r="D369" t="s">
        <v>183</v>
      </c>
      <c r="E369">
        <v>0.31482365435092802</v>
      </c>
      <c r="F369">
        <v>0.37358020971452499</v>
      </c>
      <c r="G369">
        <v>0.84272037480653195</v>
      </c>
      <c r="H369">
        <v>-0.44923366427137201</v>
      </c>
      <c r="I369">
        <v>1.07888097297323</v>
      </c>
      <c r="J369">
        <v>0.40628181896424298</v>
      </c>
    </row>
    <row r="370" spans="1:10" hidden="1" x14ac:dyDescent="0.2">
      <c r="A370" s="35" t="s">
        <v>85</v>
      </c>
      <c r="B370" t="s">
        <v>21</v>
      </c>
      <c r="C370">
        <v>1</v>
      </c>
      <c r="D370" t="s">
        <v>104</v>
      </c>
      <c r="E370">
        <v>-0.18391558008928599</v>
      </c>
      <c r="F370">
        <v>0.35732973755059699</v>
      </c>
      <c r="G370">
        <v>-0.51469430266280003</v>
      </c>
      <c r="H370">
        <v>-0.91473695134326705</v>
      </c>
      <c r="I370">
        <v>0.54690579116469495</v>
      </c>
      <c r="J370">
        <v>0.61066740474011605</v>
      </c>
    </row>
    <row r="371" spans="1:10" hidden="1" x14ac:dyDescent="0.2">
      <c r="A371" s="35" t="s">
        <v>85</v>
      </c>
      <c r="B371" t="s">
        <v>21</v>
      </c>
      <c r="C371">
        <v>1</v>
      </c>
      <c r="D371" t="s">
        <v>103</v>
      </c>
      <c r="E371">
        <v>0.350935495901598</v>
      </c>
      <c r="F371">
        <v>0.340304142768801</v>
      </c>
      <c r="G371">
        <v>1.03124073966981</v>
      </c>
      <c r="H371">
        <v>-0.34506462422971401</v>
      </c>
      <c r="I371">
        <v>1.04693561603291</v>
      </c>
      <c r="J371">
        <v>0.31095220619666802</v>
      </c>
    </row>
    <row r="372" spans="1:10" hidden="1" x14ac:dyDescent="0.2">
      <c r="A372" s="35" t="s">
        <v>85</v>
      </c>
      <c r="B372" t="s">
        <v>11</v>
      </c>
      <c r="C372">
        <v>0</v>
      </c>
      <c r="D372" t="s">
        <v>183</v>
      </c>
      <c r="E372">
        <v>-0.39464045024640199</v>
      </c>
      <c r="F372">
        <v>0.31013503904192402</v>
      </c>
      <c r="G372">
        <v>-1.27247940595663</v>
      </c>
      <c r="H372">
        <v>-1.01318528177222</v>
      </c>
      <c r="I372">
        <v>0.223904381279416</v>
      </c>
      <c r="J372">
        <v>0.20741340349847701</v>
      </c>
    </row>
    <row r="373" spans="1:10" hidden="1" x14ac:dyDescent="0.2">
      <c r="A373" s="35" t="s">
        <v>85</v>
      </c>
      <c r="B373" t="s">
        <v>11</v>
      </c>
      <c r="C373">
        <v>0</v>
      </c>
      <c r="D373" t="s">
        <v>104</v>
      </c>
      <c r="E373">
        <v>0.28010933698268398</v>
      </c>
      <c r="F373">
        <v>0.28387740100678599</v>
      </c>
      <c r="G373">
        <v>0.98672643891081702</v>
      </c>
      <c r="H373">
        <v>-0.28606628677840101</v>
      </c>
      <c r="I373">
        <v>0.84628496074376902</v>
      </c>
      <c r="J373">
        <v>0.32717520658875099</v>
      </c>
    </row>
    <row r="374" spans="1:10" hidden="1" x14ac:dyDescent="0.2">
      <c r="A374" s="35" t="s">
        <v>85</v>
      </c>
      <c r="B374" t="s">
        <v>11</v>
      </c>
      <c r="C374">
        <v>0</v>
      </c>
      <c r="D374" t="s">
        <v>103</v>
      </c>
      <c r="E374">
        <v>-0.35093462602751502</v>
      </c>
      <c r="F374">
        <v>0.254929431731998</v>
      </c>
      <c r="G374">
        <v>-1.37659517633274</v>
      </c>
      <c r="H374">
        <v>-0.85937534555655204</v>
      </c>
      <c r="I374">
        <v>0.157506093501522</v>
      </c>
      <c r="J374">
        <v>0.17302473805525601</v>
      </c>
    </row>
    <row r="375" spans="1:10" hidden="1" x14ac:dyDescent="0.2">
      <c r="A375" s="35" t="s">
        <v>85</v>
      </c>
      <c r="B375" t="s">
        <v>11</v>
      </c>
      <c r="C375">
        <v>1</v>
      </c>
      <c r="D375" t="s">
        <v>183</v>
      </c>
      <c r="E375">
        <v>-0.45909128372986402</v>
      </c>
      <c r="F375">
        <v>0.29306235169115002</v>
      </c>
      <c r="G375">
        <v>-1.56653108487196</v>
      </c>
      <c r="H375">
        <v>-1.05847109240172</v>
      </c>
      <c r="I375">
        <v>0.14028852494199601</v>
      </c>
      <c r="J375">
        <v>0.12807256372186801</v>
      </c>
    </row>
    <row r="376" spans="1:10" hidden="1" x14ac:dyDescent="0.2">
      <c r="A376" s="35" t="s">
        <v>85</v>
      </c>
      <c r="B376" t="s">
        <v>11</v>
      </c>
      <c r="C376">
        <v>1</v>
      </c>
      <c r="D376" t="s">
        <v>104</v>
      </c>
      <c r="E376">
        <v>0.16402057027380901</v>
      </c>
      <c r="F376">
        <v>0.28031434881355799</v>
      </c>
      <c r="G376">
        <v>0.58513083960215895</v>
      </c>
      <c r="H376">
        <v>-0.409286645034805</v>
      </c>
      <c r="I376">
        <v>0.73732778558242396</v>
      </c>
      <c r="J376">
        <v>0.56298539531873704</v>
      </c>
    </row>
    <row r="377" spans="1:10" hidden="1" x14ac:dyDescent="0.2">
      <c r="A377" s="35" t="s">
        <v>85</v>
      </c>
      <c r="B377" t="s">
        <v>11</v>
      </c>
      <c r="C377">
        <v>1</v>
      </c>
      <c r="D377" t="s">
        <v>103</v>
      </c>
      <c r="E377">
        <v>0.21398928277887999</v>
      </c>
      <c r="F377">
        <v>0.26695828573541303</v>
      </c>
      <c r="G377">
        <v>0.80158322184825603</v>
      </c>
      <c r="H377">
        <v>-0.332001716420119</v>
      </c>
      <c r="I377">
        <v>0.75998028197787804</v>
      </c>
      <c r="J377">
        <v>0.42931356349294397</v>
      </c>
    </row>
    <row r="378" spans="1:10" hidden="1" x14ac:dyDescent="0.2">
      <c r="A378" s="35" t="s">
        <v>85</v>
      </c>
      <c r="B378" t="s">
        <v>13</v>
      </c>
      <c r="C378">
        <v>0</v>
      </c>
      <c r="D378" t="s">
        <v>183</v>
      </c>
      <c r="E378">
        <v>-0.31628100180615798</v>
      </c>
      <c r="F378">
        <v>0.30842857468768697</v>
      </c>
      <c r="G378">
        <v>-1.0254594669979</v>
      </c>
      <c r="H378">
        <v>-0.93142239749397104</v>
      </c>
      <c r="I378">
        <v>0.29886039388165497</v>
      </c>
      <c r="J378">
        <v>0.30867712523421098</v>
      </c>
    </row>
    <row r="379" spans="1:10" hidden="1" x14ac:dyDescent="0.2">
      <c r="A379" s="35" t="s">
        <v>85</v>
      </c>
      <c r="B379" t="s">
        <v>13</v>
      </c>
      <c r="C379">
        <v>0</v>
      </c>
      <c r="D379" t="s">
        <v>104</v>
      </c>
      <c r="E379">
        <v>0.16761292669191899</v>
      </c>
      <c r="F379">
        <v>0.28231541475947902</v>
      </c>
      <c r="G379">
        <v>0.59370802276141499</v>
      </c>
      <c r="H379">
        <v>-0.39544741372946102</v>
      </c>
      <c r="I379">
        <v>0.73067326711329905</v>
      </c>
      <c r="J379">
        <v>0.55462116045161902</v>
      </c>
    </row>
    <row r="380" spans="1:10" hidden="1" x14ac:dyDescent="0.2">
      <c r="A380" s="35" t="s">
        <v>85</v>
      </c>
      <c r="B380" t="s">
        <v>13</v>
      </c>
      <c r="C380">
        <v>0</v>
      </c>
      <c r="D380" t="s">
        <v>103</v>
      </c>
      <c r="E380">
        <v>-2.45791579315498E-2</v>
      </c>
      <c r="F380">
        <v>0.253526726673452</v>
      </c>
      <c r="G380">
        <v>-9.6948981490256297E-2</v>
      </c>
      <c r="H380">
        <v>-0.53022227043495296</v>
      </c>
      <c r="I380">
        <v>0.48106395457185303</v>
      </c>
      <c r="J380">
        <v>0.92304395663641703</v>
      </c>
    </row>
    <row r="381" spans="1:10" hidden="1" x14ac:dyDescent="0.2">
      <c r="A381" s="35" t="s">
        <v>85</v>
      </c>
      <c r="B381" t="s">
        <v>13</v>
      </c>
      <c r="C381">
        <v>1</v>
      </c>
      <c r="D381" t="s">
        <v>183</v>
      </c>
      <c r="E381">
        <v>-0.65525823884268997</v>
      </c>
      <c r="F381">
        <v>0.30212233149629503</v>
      </c>
      <c r="G381">
        <v>-2.1688507287675498</v>
      </c>
      <c r="H381">
        <v>-1.27316778676915</v>
      </c>
      <c r="I381">
        <v>-3.7348690916224697E-2</v>
      </c>
      <c r="J381">
        <v>3.84350222423753E-2</v>
      </c>
    </row>
    <row r="382" spans="1:10" hidden="1" x14ac:dyDescent="0.2">
      <c r="A382" s="35" t="s">
        <v>85</v>
      </c>
      <c r="B382" t="s">
        <v>13</v>
      </c>
      <c r="C382">
        <v>1</v>
      </c>
      <c r="D382" t="s">
        <v>104</v>
      </c>
      <c r="E382">
        <v>0.55883457627380995</v>
      </c>
      <c r="F382">
        <v>0.288980225971397</v>
      </c>
      <c r="G382">
        <v>1.9338159709554701</v>
      </c>
      <c r="H382">
        <v>-3.2196347873098899E-2</v>
      </c>
      <c r="I382">
        <v>1.1498655004207201</v>
      </c>
      <c r="J382">
        <v>6.2948923501342999E-2</v>
      </c>
    </row>
    <row r="383" spans="1:10" hidden="1" x14ac:dyDescent="0.2">
      <c r="A383" s="35" t="s">
        <v>85</v>
      </c>
      <c r="B383" t="s">
        <v>13</v>
      </c>
      <c r="C383">
        <v>1</v>
      </c>
      <c r="D383" t="s">
        <v>103</v>
      </c>
      <c r="E383">
        <v>0.18371770135190199</v>
      </c>
      <c r="F383">
        <v>0.275211262153646</v>
      </c>
      <c r="G383">
        <v>0.66755153809561496</v>
      </c>
      <c r="H383">
        <v>-0.37915252985348902</v>
      </c>
      <c r="I383">
        <v>0.74658793255729194</v>
      </c>
      <c r="J383">
        <v>0.50969769724022296</v>
      </c>
    </row>
    <row r="384" spans="1:10" hidden="1" x14ac:dyDescent="0.2">
      <c r="A384" s="35" t="s">
        <v>85</v>
      </c>
      <c r="B384" t="s">
        <v>17</v>
      </c>
      <c r="C384">
        <v>0</v>
      </c>
      <c r="D384" t="s">
        <v>183</v>
      </c>
      <c r="E384">
        <v>-0.73432764438771603</v>
      </c>
      <c r="F384">
        <v>0.36198565133819799</v>
      </c>
      <c r="G384">
        <v>-2.0286098127730599</v>
      </c>
      <c r="H384">
        <v>-1.4562852613452799</v>
      </c>
      <c r="I384">
        <v>-1.2370027430149101E-2</v>
      </c>
      <c r="J384">
        <v>4.6303801692277401E-2</v>
      </c>
    </row>
    <row r="385" spans="1:10" hidden="1" x14ac:dyDescent="0.2">
      <c r="A385" s="35" t="s">
        <v>85</v>
      </c>
      <c r="B385" t="s">
        <v>17</v>
      </c>
      <c r="C385">
        <v>0</v>
      </c>
      <c r="D385" t="s">
        <v>104</v>
      </c>
      <c r="E385">
        <v>0.417916958598125</v>
      </c>
      <c r="F385">
        <v>0.33133807202528098</v>
      </c>
      <c r="G385">
        <v>1.2613007495445301</v>
      </c>
      <c r="H385">
        <v>-0.24291598879181001</v>
      </c>
      <c r="I385">
        <v>1.0787499059880601</v>
      </c>
      <c r="J385">
        <v>0.21138778333808</v>
      </c>
    </row>
    <row r="386" spans="1:10" hidden="1" x14ac:dyDescent="0.2">
      <c r="A386" s="35" t="s">
        <v>85</v>
      </c>
      <c r="B386" t="s">
        <v>17</v>
      </c>
      <c r="C386">
        <v>0</v>
      </c>
      <c r="D386" t="s">
        <v>103</v>
      </c>
      <c r="E386">
        <v>-0.25191335140229498</v>
      </c>
      <c r="F386">
        <v>0.29755037249534899</v>
      </c>
      <c r="G386">
        <v>-0.84662421790862297</v>
      </c>
      <c r="H386">
        <v>-0.84535885692835999</v>
      </c>
      <c r="I386">
        <v>0.34153215412377003</v>
      </c>
      <c r="J386">
        <v>0.40008974043444701</v>
      </c>
    </row>
    <row r="387" spans="1:10" hidden="1" x14ac:dyDescent="0.2">
      <c r="A387" s="35" t="s">
        <v>85</v>
      </c>
      <c r="B387" t="s">
        <v>17</v>
      </c>
      <c r="C387">
        <v>1</v>
      </c>
      <c r="D387" t="s">
        <v>183</v>
      </c>
      <c r="E387">
        <v>0.226472498432713</v>
      </c>
      <c r="F387">
        <v>0.26019117570216299</v>
      </c>
      <c r="G387">
        <v>0.87040806753551703</v>
      </c>
      <c r="H387">
        <v>-0.30567820673470802</v>
      </c>
      <c r="I387">
        <v>0.75862320360013502</v>
      </c>
      <c r="J387">
        <v>0.39122560251745703</v>
      </c>
    </row>
    <row r="388" spans="1:10" hidden="1" x14ac:dyDescent="0.2">
      <c r="A388" s="35" t="s">
        <v>85</v>
      </c>
      <c r="B388" t="s">
        <v>17</v>
      </c>
      <c r="C388">
        <v>1</v>
      </c>
      <c r="D388" t="s">
        <v>104</v>
      </c>
      <c r="E388">
        <v>-3.7060538327381203E-2</v>
      </c>
      <c r="F388">
        <v>0.24887304549050401</v>
      </c>
      <c r="G388">
        <v>-0.148913427946118</v>
      </c>
      <c r="H388">
        <v>-0.54606306809240102</v>
      </c>
      <c r="I388">
        <v>0.47194199143763799</v>
      </c>
      <c r="J388">
        <v>0.882652668294159</v>
      </c>
    </row>
    <row r="389" spans="1:10" hidden="1" x14ac:dyDescent="0.2">
      <c r="A389" s="35" t="s">
        <v>85</v>
      </c>
      <c r="B389" t="s">
        <v>17</v>
      </c>
      <c r="C389">
        <v>1</v>
      </c>
      <c r="D389" t="s">
        <v>103</v>
      </c>
      <c r="E389">
        <v>0.28608306717311099</v>
      </c>
      <c r="F389">
        <v>0.23701505781313401</v>
      </c>
      <c r="G389">
        <v>1.20702486083674</v>
      </c>
      <c r="H389">
        <v>-0.198667154698107</v>
      </c>
      <c r="I389">
        <v>0.77083328904432902</v>
      </c>
      <c r="J389">
        <v>0.23717609594654801</v>
      </c>
    </row>
    <row r="390" spans="1:10" hidden="1" x14ac:dyDescent="0.2">
      <c r="A390" s="35" t="s">
        <v>85</v>
      </c>
      <c r="B390" t="s">
        <v>26</v>
      </c>
      <c r="C390">
        <v>0</v>
      </c>
      <c r="D390" t="s">
        <v>183</v>
      </c>
      <c r="E390">
        <v>-0.60214491042857199</v>
      </c>
      <c r="F390">
        <v>0.36543058315009502</v>
      </c>
      <c r="G390">
        <v>-1.64776824434875</v>
      </c>
      <c r="H390">
        <v>-1.33097322723931</v>
      </c>
      <c r="I390">
        <v>0.12668340638216299</v>
      </c>
      <c r="J390">
        <v>0.10388217530197</v>
      </c>
    </row>
    <row r="391" spans="1:10" hidden="1" x14ac:dyDescent="0.2">
      <c r="A391" s="35" t="s">
        <v>85</v>
      </c>
      <c r="B391" t="s">
        <v>26</v>
      </c>
      <c r="C391">
        <v>0</v>
      </c>
      <c r="D391" t="s">
        <v>104</v>
      </c>
      <c r="E391">
        <v>0.41415035357936503</v>
      </c>
      <c r="F391">
        <v>0.33449133807489601</v>
      </c>
      <c r="G391">
        <v>1.23814971102969</v>
      </c>
      <c r="H391">
        <v>-0.25297158464321001</v>
      </c>
      <c r="I391">
        <v>1.08127229180194</v>
      </c>
      <c r="J391">
        <v>0.21979705245716699</v>
      </c>
    </row>
    <row r="392" spans="1:10" hidden="1" x14ac:dyDescent="0.2">
      <c r="A392" s="35" t="s">
        <v>85</v>
      </c>
      <c r="B392" t="s">
        <v>26</v>
      </c>
      <c r="C392">
        <v>0</v>
      </c>
      <c r="D392" t="s">
        <v>103</v>
      </c>
      <c r="E392">
        <v>-0.13016126157935601</v>
      </c>
      <c r="F392">
        <v>0.300382089001409</v>
      </c>
      <c r="G392">
        <v>-0.43331898387172402</v>
      </c>
      <c r="H392">
        <v>-0.72925444759512104</v>
      </c>
      <c r="I392">
        <v>0.46893192443640902</v>
      </c>
      <c r="J392">
        <v>0.66611542885490105</v>
      </c>
    </row>
    <row r="393" spans="1:10" hidden="1" x14ac:dyDescent="0.2">
      <c r="A393" s="35" t="s">
        <v>85</v>
      </c>
      <c r="B393" t="s">
        <v>26</v>
      </c>
      <c r="C393">
        <v>1</v>
      </c>
      <c r="D393" t="s">
        <v>183</v>
      </c>
      <c r="E393">
        <v>0.18073803307592801</v>
      </c>
      <c r="F393">
        <v>0.32404350954375699</v>
      </c>
      <c r="G393">
        <v>0.55775853474245296</v>
      </c>
      <c r="H393">
        <v>-0.482005357983676</v>
      </c>
      <c r="I393">
        <v>0.84348142413553195</v>
      </c>
      <c r="J393">
        <v>0.58128976932246501</v>
      </c>
    </row>
    <row r="394" spans="1:10" hidden="1" x14ac:dyDescent="0.2">
      <c r="A394" s="35" t="s">
        <v>85</v>
      </c>
      <c r="B394" t="s">
        <v>26</v>
      </c>
      <c r="C394">
        <v>1</v>
      </c>
      <c r="D394" t="s">
        <v>104</v>
      </c>
      <c r="E394">
        <v>-0.48520634363690501</v>
      </c>
      <c r="F394">
        <v>0.30994784843856499</v>
      </c>
      <c r="G394">
        <v>-1.5654451098184601</v>
      </c>
      <c r="H394">
        <v>-1.1191208707787099</v>
      </c>
      <c r="I394">
        <v>0.148708183504903</v>
      </c>
      <c r="J394">
        <v>0.12832677611170601</v>
      </c>
    </row>
    <row r="395" spans="1:10" hidden="1" x14ac:dyDescent="0.2">
      <c r="A395" s="35" t="s">
        <v>85</v>
      </c>
      <c r="B395" t="s">
        <v>26</v>
      </c>
      <c r="C395">
        <v>1</v>
      </c>
      <c r="D395" t="s">
        <v>103</v>
      </c>
      <c r="E395">
        <v>-0.19416167769276599</v>
      </c>
      <c r="F395">
        <v>0.29517984590069302</v>
      </c>
      <c r="G395">
        <v>-0.65777416849146098</v>
      </c>
      <c r="H395">
        <v>-0.79787224828902603</v>
      </c>
      <c r="I395">
        <v>0.409548892903495</v>
      </c>
      <c r="J395">
        <v>0.51587096552404499</v>
      </c>
    </row>
    <row r="396" spans="1:10" hidden="1" x14ac:dyDescent="0.2">
      <c r="A396" s="35" t="s">
        <v>85</v>
      </c>
      <c r="B396" t="s">
        <v>9</v>
      </c>
      <c r="C396">
        <v>0</v>
      </c>
      <c r="D396" t="s">
        <v>183</v>
      </c>
      <c r="E396">
        <v>-2.1637829010515801E-2</v>
      </c>
      <c r="F396">
        <v>0.274839745664688</v>
      </c>
      <c r="G396">
        <v>-7.8728893298113195E-2</v>
      </c>
      <c r="H396">
        <v>-0.56978841755392295</v>
      </c>
      <c r="I396">
        <v>0.52651275953289201</v>
      </c>
      <c r="J396">
        <v>0.93747288955701302</v>
      </c>
    </row>
    <row r="397" spans="1:10" hidden="1" x14ac:dyDescent="0.2">
      <c r="A397" s="35" t="s">
        <v>85</v>
      </c>
      <c r="B397" t="s">
        <v>9</v>
      </c>
      <c r="C397">
        <v>0</v>
      </c>
      <c r="D397" t="s">
        <v>104</v>
      </c>
      <c r="E397">
        <v>0.133471173280303</v>
      </c>
      <c r="F397">
        <v>0.25157038989751501</v>
      </c>
      <c r="G397">
        <v>0.53055199912309603</v>
      </c>
      <c r="H397">
        <v>-0.36827014855404699</v>
      </c>
      <c r="I397">
        <v>0.63521249511465405</v>
      </c>
      <c r="J397">
        <v>0.59740845840416001</v>
      </c>
    </row>
    <row r="398" spans="1:10" hidden="1" x14ac:dyDescent="0.2">
      <c r="A398" s="35" t="s">
        <v>85</v>
      </c>
      <c r="B398" t="s">
        <v>9</v>
      </c>
      <c r="C398">
        <v>0</v>
      </c>
      <c r="D398" t="s">
        <v>103</v>
      </c>
      <c r="E398">
        <v>5.5162659190764102E-2</v>
      </c>
      <c r="F398">
        <v>0.225916879292683</v>
      </c>
      <c r="G398">
        <v>0.24417236712666801</v>
      </c>
      <c r="H398">
        <v>-0.39541434904609501</v>
      </c>
      <c r="I398">
        <v>0.505739667427623</v>
      </c>
      <c r="J398">
        <v>0.80781158993237401</v>
      </c>
    </row>
    <row r="399" spans="1:10" hidden="1" x14ac:dyDescent="0.2">
      <c r="A399" s="35" t="s">
        <v>85</v>
      </c>
      <c r="B399" t="s">
        <v>9</v>
      </c>
      <c r="C399">
        <v>1</v>
      </c>
      <c r="D399" t="s">
        <v>183</v>
      </c>
      <c r="E399">
        <v>-1.7785907860603401E-2</v>
      </c>
      <c r="F399">
        <v>0.240636389859193</v>
      </c>
      <c r="G399">
        <v>-7.3911962654570604E-2</v>
      </c>
      <c r="H399">
        <v>-0.50994258537642601</v>
      </c>
      <c r="I399">
        <v>0.47437076965522001</v>
      </c>
      <c r="J399">
        <v>0.94158791110945395</v>
      </c>
    </row>
    <row r="400" spans="1:10" hidden="1" x14ac:dyDescent="0.2">
      <c r="A400" s="35" t="s">
        <v>85</v>
      </c>
      <c r="B400" t="s">
        <v>9</v>
      </c>
      <c r="C400">
        <v>1</v>
      </c>
      <c r="D400" t="s">
        <v>104</v>
      </c>
      <c r="E400">
        <v>-6.4292457589285701E-2</v>
      </c>
      <c r="F400">
        <v>0.23016887885794601</v>
      </c>
      <c r="G400">
        <v>-0.27932732656253401</v>
      </c>
      <c r="H400">
        <v>-0.53504067132600797</v>
      </c>
      <c r="I400">
        <v>0.40645575614743701</v>
      </c>
      <c r="J400">
        <v>0.78197614608871002</v>
      </c>
    </row>
    <row r="401" spans="1:10" hidden="1" x14ac:dyDescent="0.2">
      <c r="A401" s="35" t="s">
        <v>85</v>
      </c>
      <c r="B401" t="s">
        <v>9</v>
      </c>
      <c r="C401">
        <v>1</v>
      </c>
      <c r="D401" t="s">
        <v>103</v>
      </c>
      <c r="E401">
        <v>6.5947735985147998E-2</v>
      </c>
      <c r="F401">
        <v>0.21920208362372401</v>
      </c>
      <c r="G401">
        <v>0.30085359999748901</v>
      </c>
      <c r="H401">
        <v>-0.38237086305934398</v>
      </c>
      <c r="I401">
        <v>0.51426633502964003</v>
      </c>
      <c r="J401">
        <v>0.76567261541326803</v>
      </c>
    </row>
    <row r="402" spans="1:10" hidden="1" x14ac:dyDescent="0.2">
      <c r="A402" s="4" t="s">
        <v>84</v>
      </c>
      <c r="B402" t="s">
        <v>18</v>
      </c>
      <c r="C402">
        <v>0</v>
      </c>
      <c r="D402" t="s">
        <v>135</v>
      </c>
      <c r="E402">
        <v>-0.49538668328282898</v>
      </c>
      <c r="F402">
        <v>0.32413059614522599</v>
      </c>
      <c r="G402">
        <v>-1.52835520365646</v>
      </c>
      <c r="H402">
        <v>-1.14184477329539</v>
      </c>
      <c r="I402">
        <v>0.15107140672972899</v>
      </c>
      <c r="J402">
        <v>0.130930807203755</v>
      </c>
    </row>
    <row r="403" spans="1:10" hidden="1" x14ac:dyDescent="0.2">
      <c r="A403" s="4" t="s">
        <v>84</v>
      </c>
      <c r="B403" t="s">
        <v>18</v>
      </c>
      <c r="C403">
        <v>0</v>
      </c>
      <c r="D403" t="s">
        <v>143</v>
      </c>
      <c r="E403">
        <v>-0.13591927448412799</v>
      </c>
      <c r="F403">
        <v>0.39418752981687999</v>
      </c>
      <c r="G403">
        <v>-0.34480866136802701</v>
      </c>
      <c r="H403">
        <v>-0.92210151294832499</v>
      </c>
      <c r="I403">
        <v>0.65026296398007</v>
      </c>
      <c r="J403">
        <v>0.73127209110494795</v>
      </c>
    </row>
    <row r="404" spans="1:10" hidden="1" x14ac:dyDescent="0.2">
      <c r="A404" s="4" t="s">
        <v>84</v>
      </c>
      <c r="B404" t="s">
        <v>18</v>
      </c>
      <c r="C404">
        <v>0</v>
      </c>
      <c r="D404" t="s">
        <v>88</v>
      </c>
      <c r="E404">
        <v>-0.42636777311111201</v>
      </c>
      <c r="F404">
        <v>0.45159854834837898</v>
      </c>
      <c r="G404">
        <v>-0.94413007896162804</v>
      </c>
      <c r="H404">
        <v>-1.32705267755911</v>
      </c>
      <c r="I404">
        <v>0.47431713133689002</v>
      </c>
      <c r="J404">
        <v>0.34835058089397303</v>
      </c>
    </row>
    <row r="405" spans="1:10" hidden="1" x14ac:dyDescent="0.2">
      <c r="A405" s="4" t="s">
        <v>84</v>
      </c>
      <c r="B405" t="s">
        <v>18</v>
      </c>
      <c r="C405">
        <v>1</v>
      </c>
      <c r="D405" t="s">
        <v>135</v>
      </c>
      <c r="E405">
        <v>-0.21112682577380901</v>
      </c>
      <c r="F405">
        <v>0.34631815457630299</v>
      </c>
      <c r="G405">
        <v>-0.60963256757968298</v>
      </c>
      <c r="H405">
        <v>-0.91942698112195997</v>
      </c>
      <c r="I405">
        <v>0.49717332957434202</v>
      </c>
      <c r="J405">
        <v>0.54685252396947404</v>
      </c>
    </row>
    <row r="406" spans="1:10" hidden="1" x14ac:dyDescent="0.2">
      <c r="A406" s="4" t="s">
        <v>84</v>
      </c>
      <c r="B406" t="s">
        <v>18</v>
      </c>
      <c r="C406">
        <v>1</v>
      </c>
      <c r="D406" t="s">
        <v>143</v>
      </c>
      <c r="E406">
        <v>-0.46123473642857099</v>
      </c>
      <c r="F406">
        <v>0.38922800384318601</v>
      </c>
      <c r="G406">
        <v>-1.1849988486809799</v>
      </c>
      <c r="H406">
        <v>-1.2572953874368</v>
      </c>
      <c r="I406">
        <v>0.33482591457965399</v>
      </c>
      <c r="J406">
        <v>0.24563828413373301</v>
      </c>
    </row>
    <row r="407" spans="1:10" hidden="1" x14ac:dyDescent="0.2">
      <c r="A407" s="4" t="s">
        <v>84</v>
      </c>
      <c r="B407" t="s">
        <v>18</v>
      </c>
      <c r="C407">
        <v>1</v>
      </c>
      <c r="D407" t="s">
        <v>88</v>
      </c>
      <c r="E407">
        <v>-0.40830455214285699</v>
      </c>
      <c r="F407">
        <v>0.38922800384318601</v>
      </c>
      <c r="G407">
        <v>-1.04901124305372</v>
      </c>
      <c r="H407">
        <v>-1.2043652031510801</v>
      </c>
      <c r="I407">
        <v>0.38775609886536899</v>
      </c>
      <c r="J407">
        <v>0.30283705330032901</v>
      </c>
    </row>
    <row r="408" spans="1:10" hidden="1" x14ac:dyDescent="0.2">
      <c r="A408" s="4" t="s">
        <v>84</v>
      </c>
      <c r="B408" t="s">
        <v>25</v>
      </c>
      <c r="C408">
        <v>0</v>
      </c>
      <c r="D408" t="s">
        <v>135</v>
      </c>
      <c r="E408">
        <v>-0.69347217324242405</v>
      </c>
      <c r="F408">
        <v>0.32421761108319902</v>
      </c>
      <c r="G408">
        <v>-2.1389096382690602</v>
      </c>
      <c r="H408">
        <v>-1.34010380907655</v>
      </c>
      <c r="I408">
        <v>-4.68405374082944E-2</v>
      </c>
      <c r="J408">
        <v>3.5933222931792803E-2</v>
      </c>
    </row>
    <row r="409" spans="1:10" hidden="1" x14ac:dyDescent="0.2">
      <c r="A409" s="4" t="s">
        <v>84</v>
      </c>
      <c r="B409" t="s">
        <v>25</v>
      </c>
      <c r="C409">
        <v>0</v>
      </c>
      <c r="D409" t="s">
        <v>143</v>
      </c>
      <c r="E409">
        <v>-0.27086591380952402</v>
      </c>
      <c r="F409">
        <v>0.39429335198814303</v>
      </c>
      <c r="G409">
        <v>-0.68696545971099598</v>
      </c>
      <c r="H409">
        <v>-1.0572592079393399</v>
      </c>
      <c r="I409">
        <v>0.515527380320288</v>
      </c>
      <c r="J409">
        <v>0.49437412454330099</v>
      </c>
    </row>
    <row r="410" spans="1:10" hidden="1" x14ac:dyDescent="0.2">
      <c r="A410" s="4" t="s">
        <v>84</v>
      </c>
      <c r="B410" t="s">
        <v>25</v>
      </c>
      <c r="C410">
        <v>0</v>
      </c>
      <c r="D410" t="s">
        <v>88</v>
      </c>
      <c r="E410">
        <v>-0.582427038555555</v>
      </c>
      <c r="F410">
        <v>0.45171978287588299</v>
      </c>
      <c r="G410">
        <v>-1.2893547297121299</v>
      </c>
      <c r="H410">
        <v>-1.4833537376444399</v>
      </c>
      <c r="I410">
        <v>0.31849966053332801</v>
      </c>
      <c r="J410">
        <v>0.201518985249239</v>
      </c>
    </row>
    <row r="411" spans="1:10" hidden="1" x14ac:dyDescent="0.2">
      <c r="A411" s="4" t="s">
        <v>84</v>
      </c>
      <c r="B411" t="s">
        <v>25</v>
      </c>
      <c r="C411">
        <v>1</v>
      </c>
      <c r="D411" t="s">
        <v>135</v>
      </c>
      <c r="E411">
        <v>7.4316497738095302E-2</v>
      </c>
      <c r="F411">
        <v>0.43608896810472098</v>
      </c>
      <c r="G411">
        <v>0.17041590861855799</v>
      </c>
      <c r="H411">
        <v>-0.81758558643674195</v>
      </c>
      <c r="I411">
        <v>0.96621858191293297</v>
      </c>
      <c r="J411">
        <v>0.86586644549721803</v>
      </c>
    </row>
    <row r="412" spans="1:10" hidden="1" x14ac:dyDescent="0.2">
      <c r="A412" s="4" t="s">
        <v>84</v>
      </c>
      <c r="B412" t="s">
        <v>25</v>
      </c>
      <c r="C412">
        <v>1</v>
      </c>
      <c r="D412" t="s">
        <v>143</v>
      </c>
      <c r="E412">
        <v>-0.528946743</v>
      </c>
      <c r="F412">
        <v>0.49012168813702001</v>
      </c>
      <c r="G412">
        <v>-1.0792151333081299</v>
      </c>
      <c r="H412">
        <v>-1.5313581478299501</v>
      </c>
      <c r="I412">
        <v>0.473464661829954</v>
      </c>
      <c r="J412">
        <v>0.289386478252322</v>
      </c>
    </row>
    <row r="413" spans="1:10" hidden="1" x14ac:dyDescent="0.2">
      <c r="A413" s="4" t="s">
        <v>84</v>
      </c>
      <c r="B413" t="s">
        <v>25</v>
      </c>
      <c r="C413">
        <v>1</v>
      </c>
      <c r="D413" t="s">
        <v>88</v>
      </c>
      <c r="E413">
        <v>-0.34427447885714302</v>
      </c>
      <c r="F413">
        <v>0.49012168813702001</v>
      </c>
      <c r="G413">
        <v>-0.70242653445055503</v>
      </c>
      <c r="H413">
        <v>-1.3466858836871001</v>
      </c>
      <c r="I413">
        <v>0.65813692597281104</v>
      </c>
      <c r="J413">
        <v>0.48801353567584699</v>
      </c>
    </row>
    <row r="414" spans="1:10" hidden="1" x14ac:dyDescent="0.2">
      <c r="A414" s="4" t="s">
        <v>84</v>
      </c>
      <c r="B414" t="s">
        <v>14</v>
      </c>
      <c r="C414">
        <v>0</v>
      </c>
      <c r="D414" t="s">
        <v>135</v>
      </c>
      <c r="E414">
        <v>-0.39864944874242503</v>
      </c>
      <c r="F414">
        <v>0.319442091850549</v>
      </c>
      <c r="G414">
        <v>-1.24795529115472</v>
      </c>
      <c r="H414">
        <v>-1.03575661179098</v>
      </c>
      <c r="I414">
        <v>0.23845771430613</v>
      </c>
      <c r="J414">
        <v>0.21620584609749499</v>
      </c>
    </row>
    <row r="415" spans="1:10" hidden="1" x14ac:dyDescent="0.2">
      <c r="A415" s="4" t="s">
        <v>84</v>
      </c>
      <c r="B415" t="s">
        <v>14</v>
      </c>
      <c r="C415">
        <v>0</v>
      </c>
      <c r="D415" t="s">
        <v>143</v>
      </c>
      <c r="E415">
        <v>-6.30147035476194E-2</v>
      </c>
      <c r="F415">
        <v>0.38848566165499099</v>
      </c>
      <c r="G415">
        <v>-0.162205995658038</v>
      </c>
      <c r="H415">
        <v>-0.83782492454331703</v>
      </c>
      <c r="I415">
        <v>0.71179551744807901</v>
      </c>
      <c r="J415">
        <v>0.87161095407134104</v>
      </c>
    </row>
    <row r="416" spans="1:10" hidden="1" x14ac:dyDescent="0.2">
      <c r="A416" s="4" t="s">
        <v>84</v>
      </c>
      <c r="B416" t="s">
        <v>14</v>
      </c>
      <c r="C416">
        <v>0</v>
      </c>
      <c r="D416" t="s">
        <v>88</v>
      </c>
      <c r="E416">
        <v>-0.152477106277778</v>
      </c>
      <c r="F416">
        <v>0.44506623773475001</v>
      </c>
      <c r="G416">
        <v>-0.34259418789850199</v>
      </c>
      <c r="H416">
        <v>-1.0401337280123399</v>
      </c>
      <c r="I416">
        <v>0.73517951545678395</v>
      </c>
      <c r="J416">
        <v>0.73293039145370797</v>
      </c>
    </row>
    <row r="417" spans="1:10" hidden="1" x14ac:dyDescent="0.2">
      <c r="A417" s="4" t="s">
        <v>84</v>
      </c>
      <c r="B417" t="s">
        <v>14</v>
      </c>
      <c r="C417">
        <v>1</v>
      </c>
      <c r="D417" t="s">
        <v>135</v>
      </c>
      <c r="E417">
        <v>-0.23274820752380901</v>
      </c>
      <c r="F417">
        <v>0.36785189863199202</v>
      </c>
      <c r="G417">
        <v>-0.63272259403683695</v>
      </c>
      <c r="H417">
        <v>-0.98508981452075295</v>
      </c>
      <c r="I417">
        <v>0.51959339947313399</v>
      </c>
      <c r="J417">
        <v>0.53187261608026004</v>
      </c>
    </row>
    <row r="418" spans="1:10" hidden="1" x14ac:dyDescent="0.2">
      <c r="A418" s="4" t="s">
        <v>84</v>
      </c>
      <c r="B418" t="s">
        <v>14</v>
      </c>
      <c r="C418">
        <v>1</v>
      </c>
      <c r="D418" t="s">
        <v>143</v>
      </c>
      <c r="E418">
        <v>-0.31019342342857198</v>
      </c>
      <c r="F418">
        <v>0.413429842826533</v>
      </c>
      <c r="G418">
        <v>-0.75029277351592205</v>
      </c>
      <c r="H418">
        <v>-1.15575239291966</v>
      </c>
      <c r="I418">
        <v>0.53536554606251896</v>
      </c>
      <c r="J418">
        <v>0.45912295644073903</v>
      </c>
    </row>
    <row r="419" spans="1:10" hidden="1" x14ac:dyDescent="0.2">
      <c r="A419" s="4" t="s">
        <v>84</v>
      </c>
      <c r="B419" t="s">
        <v>14</v>
      </c>
      <c r="C419">
        <v>1</v>
      </c>
      <c r="D419" t="s">
        <v>88</v>
      </c>
      <c r="E419">
        <v>-0.45488110328571502</v>
      </c>
      <c r="F419">
        <v>0.413429842826533</v>
      </c>
      <c r="G419">
        <v>-1.1002618973410001</v>
      </c>
      <c r="H419">
        <v>-1.30044007277681</v>
      </c>
      <c r="I419">
        <v>0.39067786620537598</v>
      </c>
      <c r="J419">
        <v>0.28026761833219899</v>
      </c>
    </row>
    <row r="420" spans="1:10" hidden="1" x14ac:dyDescent="0.2">
      <c r="A420" s="4" t="s">
        <v>84</v>
      </c>
      <c r="B420" t="s">
        <v>7</v>
      </c>
      <c r="C420">
        <v>0</v>
      </c>
      <c r="D420" t="s">
        <v>135</v>
      </c>
      <c r="E420">
        <v>-0.51008470566161601</v>
      </c>
      <c r="F420">
        <v>0.25951950460686701</v>
      </c>
      <c r="G420">
        <v>-1.9654966066397099</v>
      </c>
      <c r="H420">
        <v>-1.0276800368780299</v>
      </c>
      <c r="I420">
        <v>7.5106255547924298E-3</v>
      </c>
      <c r="J420">
        <v>5.3325154397491401E-2</v>
      </c>
    </row>
    <row r="421" spans="1:10" hidden="1" x14ac:dyDescent="0.2">
      <c r="A421" s="4" t="s">
        <v>84</v>
      </c>
      <c r="B421" t="s">
        <v>7</v>
      </c>
      <c r="C421">
        <v>0</v>
      </c>
      <c r="D421" t="s">
        <v>143</v>
      </c>
      <c r="E421">
        <v>-0.23623008538888901</v>
      </c>
      <c r="F421">
        <v>0.31561152719580399</v>
      </c>
      <c r="G421">
        <v>-0.74848370554708199</v>
      </c>
      <c r="H421">
        <v>-0.86569742813098305</v>
      </c>
      <c r="I421">
        <v>0.39323725735320397</v>
      </c>
      <c r="J421">
        <v>0.45667601973688199</v>
      </c>
    </row>
    <row r="422" spans="1:10" hidden="1" x14ac:dyDescent="0.2">
      <c r="A422" s="4" t="s">
        <v>84</v>
      </c>
      <c r="B422" t="s">
        <v>7</v>
      </c>
      <c r="C422">
        <v>0</v>
      </c>
      <c r="D422" t="s">
        <v>88</v>
      </c>
      <c r="E422">
        <v>-0.62457971583333305</v>
      </c>
      <c r="F422">
        <v>0.36157842839384702</v>
      </c>
      <c r="G422">
        <v>-1.7273699612218401</v>
      </c>
      <c r="H422">
        <v>-1.3457251522379201</v>
      </c>
      <c r="I422">
        <v>9.6565720571255106E-2</v>
      </c>
      <c r="J422">
        <v>8.8511377488275603E-2</v>
      </c>
    </row>
    <row r="423" spans="1:10" hidden="1" x14ac:dyDescent="0.2">
      <c r="A423" s="4" t="s">
        <v>84</v>
      </c>
      <c r="B423" t="s">
        <v>7</v>
      </c>
      <c r="C423">
        <v>1</v>
      </c>
      <c r="D423" t="s">
        <v>135</v>
      </c>
      <c r="E423">
        <v>0.39546005213095198</v>
      </c>
      <c r="F423">
        <v>0.43745934758213501</v>
      </c>
      <c r="G423">
        <v>0.90399268941601996</v>
      </c>
      <c r="H423">
        <v>-0.49924477277206503</v>
      </c>
      <c r="I423">
        <v>1.29016487703397</v>
      </c>
      <c r="J423">
        <v>0.37344790838902697</v>
      </c>
    </row>
    <row r="424" spans="1:10" hidden="1" x14ac:dyDescent="0.2">
      <c r="A424" s="4" t="s">
        <v>84</v>
      </c>
      <c r="B424" t="s">
        <v>7</v>
      </c>
      <c r="C424">
        <v>1</v>
      </c>
      <c r="D424" t="s">
        <v>143</v>
      </c>
      <c r="E424">
        <v>-0.41656399971428598</v>
      </c>
      <c r="F424">
        <v>0.491661861707055</v>
      </c>
      <c r="G424">
        <v>-0.84725709305165797</v>
      </c>
      <c r="H424">
        <v>-1.42212541318371</v>
      </c>
      <c r="I424">
        <v>0.58899741375513404</v>
      </c>
      <c r="J424">
        <v>0.40379014920081902</v>
      </c>
    </row>
    <row r="425" spans="1:10" hidden="1" x14ac:dyDescent="0.2">
      <c r="A425" s="4" t="s">
        <v>84</v>
      </c>
      <c r="B425" t="s">
        <v>7</v>
      </c>
      <c r="C425">
        <v>1</v>
      </c>
      <c r="D425" t="s">
        <v>88</v>
      </c>
      <c r="E425">
        <v>-1.3894133857143E-2</v>
      </c>
      <c r="F425">
        <v>0.491661861707056</v>
      </c>
      <c r="G425">
        <v>-2.82595314773905E-2</v>
      </c>
      <c r="H425">
        <v>-1.0194555473265601</v>
      </c>
      <c r="I425">
        <v>0.99166727961227696</v>
      </c>
      <c r="J425">
        <v>0.97764873809185004</v>
      </c>
    </row>
    <row r="426" spans="1:10" hidden="1" x14ac:dyDescent="0.2">
      <c r="A426" s="4" t="s">
        <v>84</v>
      </c>
      <c r="B426" t="s">
        <v>21</v>
      </c>
      <c r="C426">
        <v>0</v>
      </c>
      <c r="D426" t="s">
        <v>135</v>
      </c>
      <c r="E426">
        <v>-1.0113142938333299</v>
      </c>
      <c r="F426">
        <v>0.338264664512889</v>
      </c>
      <c r="G426">
        <v>-2.98971308543166</v>
      </c>
      <c r="H426">
        <v>-1.6859618943386701</v>
      </c>
      <c r="I426">
        <v>-0.33666669332799998</v>
      </c>
      <c r="J426">
        <v>3.8509413335215399E-3</v>
      </c>
    </row>
    <row r="427" spans="1:10" hidden="1" x14ac:dyDescent="0.2">
      <c r="A427" s="4" t="s">
        <v>84</v>
      </c>
      <c r="B427" t="s">
        <v>21</v>
      </c>
      <c r="C427">
        <v>0</v>
      </c>
      <c r="D427" t="s">
        <v>143</v>
      </c>
      <c r="E427">
        <v>-0.89084116109523903</v>
      </c>
      <c r="F427">
        <v>0.41137650723021701</v>
      </c>
      <c r="G427">
        <v>-2.1655129678970702</v>
      </c>
      <c r="H427">
        <v>-1.7113057340259901</v>
      </c>
      <c r="I427">
        <v>-7.0376588164486595E-2</v>
      </c>
      <c r="J427">
        <v>3.37579920336755E-2</v>
      </c>
    </row>
    <row r="428" spans="1:10" hidden="1" x14ac:dyDescent="0.2">
      <c r="A428" s="4" t="s">
        <v>84</v>
      </c>
      <c r="B428" t="s">
        <v>21</v>
      </c>
      <c r="C428">
        <v>0</v>
      </c>
      <c r="D428" t="s">
        <v>88</v>
      </c>
      <c r="E428">
        <v>-1.0949016388333299</v>
      </c>
      <c r="F428">
        <v>0.47129099587725398</v>
      </c>
      <c r="G428">
        <v>-2.3231965991527201</v>
      </c>
      <c r="H428">
        <v>-2.03486189145453</v>
      </c>
      <c r="I428">
        <v>-0.15494138621213699</v>
      </c>
      <c r="J428">
        <v>2.30795483059687E-2</v>
      </c>
    </row>
    <row r="429" spans="1:10" hidden="1" x14ac:dyDescent="0.2">
      <c r="A429" s="4" t="s">
        <v>84</v>
      </c>
      <c r="B429" t="s">
        <v>21</v>
      </c>
      <c r="C429">
        <v>1</v>
      </c>
      <c r="D429" t="s">
        <v>135</v>
      </c>
      <c r="E429">
        <v>0.638595248321428</v>
      </c>
      <c r="F429">
        <v>0.47505263213146398</v>
      </c>
      <c r="G429">
        <v>1.3442620988250999</v>
      </c>
      <c r="H429">
        <v>-0.33299647648700498</v>
      </c>
      <c r="I429">
        <v>1.6101869731298599</v>
      </c>
      <c r="J429">
        <v>0.18928567741091401</v>
      </c>
    </row>
    <row r="430" spans="1:10" hidden="1" x14ac:dyDescent="0.2">
      <c r="A430" s="4" t="s">
        <v>84</v>
      </c>
      <c r="B430" t="s">
        <v>21</v>
      </c>
      <c r="C430">
        <v>1</v>
      </c>
      <c r="D430" t="s">
        <v>143</v>
      </c>
      <c r="E430">
        <v>0.30855929199999999</v>
      </c>
      <c r="F430">
        <v>0.53391306601064004</v>
      </c>
      <c r="G430">
        <v>0.57792047365600596</v>
      </c>
      <c r="H430">
        <v>-0.78341553692691701</v>
      </c>
      <c r="I430">
        <v>1.40053412092692</v>
      </c>
      <c r="J430">
        <v>0.56777861989372902</v>
      </c>
    </row>
    <row r="431" spans="1:10" hidden="1" x14ac:dyDescent="0.2">
      <c r="A431" s="4" t="s">
        <v>84</v>
      </c>
      <c r="B431" t="s">
        <v>21</v>
      </c>
      <c r="C431">
        <v>1</v>
      </c>
      <c r="D431" t="s">
        <v>88</v>
      </c>
      <c r="E431">
        <v>0.579323380142857</v>
      </c>
      <c r="F431">
        <v>0.53391306601064104</v>
      </c>
      <c r="G431">
        <v>1.0850518877005899</v>
      </c>
      <c r="H431">
        <v>-0.51265144878405999</v>
      </c>
      <c r="I431">
        <v>1.6712982090697699</v>
      </c>
      <c r="J431">
        <v>0.28683677255393297</v>
      </c>
    </row>
    <row r="432" spans="1:10" hidden="1" x14ac:dyDescent="0.2">
      <c r="A432" s="4" t="s">
        <v>84</v>
      </c>
      <c r="B432" t="s">
        <v>11</v>
      </c>
      <c r="C432">
        <v>0</v>
      </c>
      <c r="D432" t="s">
        <v>135</v>
      </c>
      <c r="E432">
        <v>-0.77048338344949596</v>
      </c>
      <c r="F432">
        <v>0.32111665179330601</v>
      </c>
      <c r="G432">
        <v>-2.3993878210508801</v>
      </c>
      <c r="H432">
        <v>-1.4109303509937701</v>
      </c>
      <c r="I432">
        <v>-0.13003641590522</v>
      </c>
      <c r="J432">
        <v>1.9088017315872799E-2</v>
      </c>
    </row>
    <row r="433" spans="1:10" hidden="1" x14ac:dyDescent="0.2">
      <c r="A433" s="4" t="s">
        <v>84</v>
      </c>
      <c r="B433" t="s">
        <v>11</v>
      </c>
      <c r="C433">
        <v>0</v>
      </c>
      <c r="D433" t="s">
        <v>143</v>
      </c>
      <c r="E433">
        <v>-0.47614375046031798</v>
      </c>
      <c r="F433">
        <v>0.39052215760821501</v>
      </c>
      <c r="G433">
        <v>-1.21924900081598</v>
      </c>
      <c r="H433">
        <v>-1.2550156345631001</v>
      </c>
      <c r="I433">
        <v>0.30272813364246198</v>
      </c>
      <c r="J433">
        <v>0.226842274492115</v>
      </c>
    </row>
    <row r="434" spans="1:10" hidden="1" x14ac:dyDescent="0.2">
      <c r="A434" s="4" t="s">
        <v>84</v>
      </c>
      <c r="B434" t="s">
        <v>11</v>
      </c>
      <c r="C434">
        <v>0</v>
      </c>
      <c r="D434" t="s">
        <v>88</v>
      </c>
      <c r="E434">
        <v>-0.68640845994444499</v>
      </c>
      <c r="F434">
        <v>0.44739933694928002</v>
      </c>
      <c r="G434">
        <v>-1.5342187689077</v>
      </c>
      <c r="H434">
        <v>-1.57871830133791</v>
      </c>
      <c r="I434">
        <v>0.20590138144902001</v>
      </c>
      <c r="J434">
        <v>0.12948349002204099</v>
      </c>
    </row>
    <row r="435" spans="1:10" hidden="1" x14ac:dyDescent="0.2">
      <c r="A435" s="4" t="s">
        <v>84</v>
      </c>
      <c r="B435" t="s">
        <v>11</v>
      </c>
      <c r="C435">
        <v>1</v>
      </c>
      <c r="D435" t="s">
        <v>135</v>
      </c>
      <c r="E435">
        <v>-0.17793460083333301</v>
      </c>
      <c r="F435">
        <v>0.37266439155303099</v>
      </c>
      <c r="G435">
        <v>-0.47746606562492699</v>
      </c>
      <c r="H435">
        <v>-0.94011886100494202</v>
      </c>
      <c r="I435">
        <v>0.584249659338275</v>
      </c>
      <c r="J435">
        <v>0.63660932421444005</v>
      </c>
    </row>
    <row r="436" spans="1:10" hidden="1" x14ac:dyDescent="0.2">
      <c r="A436" s="4" t="s">
        <v>84</v>
      </c>
      <c r="B436" t="s">
        <v>11</v>
      </c>
      <c r="C436">
        <v>1</v>
      </c>
      <c r="D436" t="s">
        <v>143</v>
      </c>
      <c r="E436">
        <v>-0.67034321414285702</v>
      </c>
      <c r="F436">
        <v>0.418838617932353</v>
      </c>
      <c r="G436">
        <v>-1.60048091422918</v>
      </c>
      <c r="H436">
        <v>-1.5269643708080001</v>
      </c>
      <c r="I436">
        <v>0.18627794252228599</v>
      </c>
      <c r="J436">
        <v>0.120331015977386</v>
      </c>
    </row>
    <row r="437" spans="1:10" hidden="1" x14ac:dyDescent="0.2">
      <c r="A437" s="4" t="s">
        <v>84</v>
      </c>
      <c r="B437" t="s">
        <v>11</v>
      </c>
      <c r="C437">
        <v>1</v>
      </c>
      <c r="D437" t="s">
        <v>88</v>
      </c>
      <c r="E437">
        <v>-0.52023667442857202</v>
      </c>
      <c r="F437">
        <v>0.418838617932353</v>
      </c>
      <c r="G437">
        <v>-1.2420933795378799</v>
      </c>
      <c r="H437">
        <v>-1.3768578310937101</v>
      </c>
      <c r="I437">
        <v>0.33638448223657103</v>
      </c>
      <c r="J437">
        <v>0.224153534747809</v>
      </c>
    </row>
    <row r="438" spans="1:10" hidden="1" x14ac:dyDescent="0.2">
      <c r="A438" s="4" t="s">
        <v>84</v>
      </c>
      <c r="B438" t="s">
        <v>13</v>
      </c>
      <c r="C438">
        <v>0</v>
      </c>
      <c r="D438" t="s">
        <v>135</v>
      </c>
      <c r="E438">
        <v>-0.33104235788383901</v>
      </c>
      <c r="F438">
        <v>0.31934976301630802</v>
      </c>
      <c r="G438">
        <v>-1.0366137577717101</v>
      </c>
      <c r="H438">
        <v>-0.96796537687889606</v>
      </c>
      <c r="I438">
        <v>0.30588066111121898</v>
      </c>
      <c r="J438">
        <v>0.30348364905797698</v>
      </c>
    </row>
    <row r="439" spans="1:10" hidden="1" x14ac:dyDescent="0.2">
      <c r="A439" s="4" t="s">
        <v>84</v>
      </c>
      <c r="B439" t="s">
        <v>13</v>
      </c>
      <c r="C439">
        <v>0</v>
      </c>
      <c r="D439" t="s">
        <v>143</v>
      </c>
      <c r="E439">
        <v>-0.43951112111111201</v>
      </c>
      <c r="F439">
        <v>0.38837337705263197</v>
      </c>
      <c r="G439">
        <v>-1.13167160026922</v>
      </c>
      <c r="H439">
        <v>-1.2140973975287901</v>
      </c>
      <c r="I439">
        <v>0.33507515530656201</v>
      </c>
      <c r="J439">
        <v>0.26163452536880299</v>
      </c>
    </row>
    <row r="440" spans="1:10" hidden="1" x14ac:dyDescent="0.2">
      <c r="A440" s="4" t="s">
        <v>84</v>
      </c>
      <c r="B440" t="s">
        <v>13</v>
      </c>
      <c r="C440">
        <v>0</v>
      </c>
      <c r="D440" t="s">
        <v>88</v>
      </c>
      <c r="E440">
        <v>-0.43532762561111199</v>
      </c>
      <c r="F440">
        <v>0.44493759956232798</v>
      </c>
      <c r="G440">
        <v>-0.97840152425717797</v>
      </c>
      <c r="H440">
        <v>-1.3227276866006099</v>
      </c>
      <c r="I440">
        <v>0.45207243537838199</v>
      </c>
      <c r="J440">
        <v>0.33124512837480402</v>
      </c>
    </row>
    <row r="441" spans="1:10" hidden="1" x14ac:dyDescent="0.2">
      <c r="A441" s="4" t="s">
        <v>84</v>
      </c>
      <c r="B441" t="s">
        <v>13</v>
      </c>
      <c r="C441">
        <v>1</v>
      </c>
      <c r="D441" t="s">
        <v>135</v>
      </c>
      <c r="E441">
        <v>-0.68755286169047503</v>
      </c>
      <c r="F441">
        <v>0.384185256795815</v>
      </c>
      <c r="G441">
        <v>-1.7896388513833399</v>
      </c>
      <c r="H441">
        <v>-1.47329993695964</v>
      </c>
      <c r="I441">
        <v>9.8194213578690501E-2</v>
      </c>
      <c r="J441">
        <v>8.3960770921483394E-2</v>
      </c>
    </row>
    <row r="442" spans="1:10" hidden="1" x14ac:dyDescent="0.2">
      <c r="A442" s="4" t="s">
        <v>84</v>
      </c>
      <c r="B442" t="s">
        <v>13</v>
      </c>
      <c r="C442">
        <v>1</v>
      </c>
      <c r="D442" t="s">
        <v>143</v>
      </c>
      <c r="E442">
        <v>-1.2270764160000001</v>
      </c>
      <c r="F442">
        <v>0.43178695264059602</v>
      </c>
      <c r="G442">
        <v>-2.84185617118768</v>
      </c>
      <c r="H442">
        <v>-2.1101798906267</v>
      </c>
      <c r="I442">
        <v>-0.34397294137330198</v>
      </c>
      <c r="J442">
        <v>8.1263747206967302E-3</v>
      </c>
    </row>
    <row r="443" spans="1:10" hidden="1" x14ac:dyDescent="0.2">
      <c r="A443" s="4" t="s">
        <v>84</v>
      </c>
      <c r="B443" t="s">
        <v>13</v>
      </c>
      <c r="C443">
        <v>1</v>
      </c>
      <c r="D443" t="s">
        <v>88</v>
      </c>
      <c r="E443">
        <v>-0.79696012514285697</v>
      </c>
      <c r="F443">
        <v>0.43178695264059602</v>
      </c>
      <c r="G443">
        <v>-1.84572535197982</v>
      </c>
      <c r="H443">
        <v>-1.6800635997695501</v>
      </c>
      <c r="I443">
        <v>8.6143349483840406E-2</v>
      </c>
      <c r="J443">
        <v>7.5164325626855003E-2</v>
      </c>
    </row>
    <row r="444" spans="1:10" hidden="1" x14ac:dyDescent="0.2">
      <c r="A444" s="4" t="s">
        <v>84</v>
      </c>
      <c r="B444" t="s">
        <v>17</v>
      </c>
      <c r="C444">
        <v>0</v>
      </c>
      <c r="D444" t="s">
        <v>135</v>
      </c>
      <c r="E444">
        <v>-0.97163641598990003</v>
      </c>
      <c r="F444">
        <v>0.37480324930079301</v>
      </c>
      <c r="G444">
        <v>-2.5923905884020901</v>
      </c>
      <c r="H444">
        <v>-1.71915792600783</v>
      </c>
      <c r="I444">
        <v>-0.22411490597197001</v>
      </c>
      <c r="J444">
        <v>1.1594613119909499E-2</v>
      </c>
    </row>
    <row r="445" spans="1:10" hidden="1" x14ac:dyDescent="0.2">
      <c r="A445" s="4" t="s">
        <v>84</v>
      </c>
      <c r="B445" t="s">
        <v>17</v>
      </c>
      <c r="C445">
        <v>0</v>
      </c>
      <c r="D445" t="s">
        <v>143</v>
      </c>
      <c r="E445">
        <v>-0.96206049520635095</v>
      </c>
      <c r="F445">
        <v>0.45581246808006998</v>
      </c>
      <c r="G445">
        <v>-2.1106498013506498</v>
      </c>
      <c r="H445">
        <v>-1.8711497975532601</v>
      </c>
      <c r="I445">
        <v>-5.2971192859439999E-2</v>
      </c>
      <c r="J445">
        <v>3.83766483398153E-2</v>
      </c>
    </row>
    <row r="446" spans="1:10" hidden="1" x14ac:dyDescent="0.2">
      <c r="A446" s="4" t="s">
        <v>84</v>
      </c>
      <c r="B446" t="s">
        <v>17</v>
      </c>
      <c r="C446">
        <v>0</v>
      </c>
      <c r="D446" t="s">
        <v>88</v>
      </c>
      <c r="E446">
        <v>-1.097862994</v>
      </c>
      <c r="F446">
        <v>0.52219878442039103</v>
      </c>
      <c r="G446">
        <v>-2.1023851965081901</v>
      </c>
      <c r="H446">
        <v>-2.1393556293698301</v>
      </c>
      <c r="I446">
        <v>-5.6370358630173097E-2</v>
      </c>
      <c r="J446">
        <v>3.9117966745424303E-2</v>
      </c>
    </row>
    <row r="447" spans="1:10" hidden="1" x14ac:dyDescent="0.2">
      <c r="A447" s="4" t="s">
        <v>84</v>
      </c>
      <c r="B447" t="s">
        <v>17</v>
      </c>
      <c r="C447">
        <v>1</v>
      </c>
      <c r="D447" t="s">
        <v>135</v>
      </c>
      <c r="E447">
        <v>0.39422259279761901</v>
      </c>
      <c r="F447">
        <v>0.330864696952619</v>
      </c>
      <c r="G447">
        <v>1.1914918588430501</v>
      </c>
      <c r="H447">
        <v>-0.28247169294513302</v>
      </c>
      <c r="I447">
        <v>1.07091687854037</v>
      </c>
      <c r="J447">
        <v>0.24312087266537499</v>
      </c>
    </row>
    <row r="448" spans="1:10" hidden="1" x14ac:dyDescent="0.2">
      <c r="A448" s="4" t="s">
        <v>84</v>
      </c>
      <c r="B448" t="s">
        <v>17</v>
      </c>
      <c r="C448">
        <v>1</v>
      </c>
      <c r="D448" t="s">
        <v>143</v>
      </c>
      <c r="E448">
        <v>0.11168346185714299</v>
      </c>
      <c r="F448">
        <v>0.37185981686292002</v>
      </c>
      <c r="G448">
        <v>0.30033753794460899</v>
      </c>
      <c r="H448">
        <v>-0.64885525830894097</v>
      </c>
      <c r="I448">
        <v>0.87222218202322699</v>
      </c>
      <c r="J448">
        <v>0.766062227887643</v>
      </c>
    </row>
    <row r="449" spans="1:11" hidden="1" x14ac:dyDescent="0.2">
      <c r="A449" s="4" t="s">
        <v>84</v>
      </c>
      <c r="B449" t="s">
        <v>17</v>
      </c>
      <c r="C449">
        <v>1</v>
      </c>
      <c r="D449" t="s">
        <v>88</v>
      </c>
      <c r="E449">
        <v>0.43178497799999999</v>
      </c>
      <c r="F449">
        <v>0.37185981686292102</v>
      </c>
      <c r="G449">
        <v>1.1611498699768601</v>
      </c>
      <c r="H449">
        <v>-0.328753742166084</v>
      </c>
      <c r="I449">
        <v>1.1923236981660801</v>
      </c>
      <c r="J449">
        <v>0.255049814784016</v>
      </c>
    </row>
    <row r="450" spans="1:11" hidden="1" x14ac:dyDescent="0.2">
      <c r="A450" s="4" t="s">
        <v>84</v>
      </c>
      <c r="B450" t="s">
        <v>26</v>
      </c>
      <c r="C450">
        <v>0</v>
      </c>
      <c r="D450" t="s">
        <v>135</v>
      </c>
      <c r="E450">
        <v>-0.79985751555555595</v>
      </c>
      <c r="F450">
        <v>0.37837016316034899</v>
      </c>
      <c r="G450">
        <v>-2.1139550457010601</v>
      </c>
      <c r="H450">
        <v>-1.5544930109494799</v>
      </c>
      <c r="I450">
        <v>-4.5222020161636199E-2</v>
      </c>
      <c r="J450">
        <v>3.8083606991808301E-2</v>
      </c>
    </row>
    <row r="451" spans="1:11" hidden="1" x14ac:dyDescent="0.2">
      <c r="A451" s="4" t="s">
        <v>84</v>
      </c>
      <c r="B451" t="s">
        <v>26</v>
      </c>
      <c r="C451">
        <v>0</v>
      </c>
      <c r="D451" t="s">
        <v>143</v>
      </c>
      <c r="E451">
        <v>-0.89451524860317499</v>
      </c>
      <c r="F451">
        <v>0.46015032751108198</v>
      </c>
      <c r="G451">
        <v>-1.9439630814597899</v>
      </c>
      <c r="H451">
        <v>-1.8122561387849401</v>
      </c>
      <c r="I451">
        <v>2.32256415785922E-2</v>
      </c>
      <c r="J451">
        <v>5.5920088061287697E-2</v>
      </c>
    </row>
    <row r="452" spans="1:11" hidden="1" x14ac:dyDescent="0.2">
      <c r="A452" s="4" t="s">
        <v>84</v>
      </c>
      <c r="B452" t="s">
        <v>26</v>
      </c>
      <c r="C452">
        <v>0</v>
      </c>
      <c r="D452" t="s">
        <v>88</v>
      </c>
      <c r="E452">
        <v>-0.86607205699999901</v>
      </c>
      <c r="F452">
        <v>0.52716842671956299</v>
      </c>
      <c r="G452">
        <v>-1.64287543241037</v>
      </c>
      <c r="H452">
        <v>-1.9174763314035199</v>
      </c>
      <c r="I452">
        <v>0.18533221740352601</v>
      </c>
      <c r="J452">
        <v>0.10489364978388301</v>
      </c>
    </row>
    <row r="453" spans="1:11" hidden="1" x14ac:dyDescent="0.2">
      <c r="A453" s="4" t="s">
        <v>84</v>
      </c>
      <c r="B453" t="s">
        <v>26</v>
      </c>
      <c r="C453">
        <v>1</v>
      </c>
      <c r="D453" t="s">
        <v>135</v>
      </c>
      <c r="E453">
        <v>0.392371365273809</v>
      </c>
      <c r="F453">
        <v>0.41206069842808801</v>
      </c>
      <c r="G453">
        <v>0.95221739605502598</v>
      </c>
      <c r="H453">
        <v>-0.45038738950922103</v>
      </c>
      <c r="I453">
        <v>1.2351301200568401</v>
      </c>
      <c r="J453">
        <v>0.34885639226062298</v>
      </c>
    </row>
    <row r="454" spans="1:11" hidden="1" x14ac:dyDescent="0.2">
      <c r="A454" s="4" t="s">
        <v>84</v>
      </c>
      <c r="B454" t="s">
        <v>26</v>
      </c>
      <c r="C454">
        <v>1</v>
      </c>
      <c r="D454" t="s">
        <v>143</v>
      </c>
      <c r="E454">
        <v>0.73369509685714296</v>
      </c>
      <c r="F454">
        <v>0.46311624438982901</v>
      </c>
      <c r="G454">
        <v>1.5842568809561199</v>
      </c>
      <c r="H454">
        <v>-0.21348397392210799</v>
      </c>
      <c r="I454">
        <v>1.6808741676363901</v>
      </c>
      <c r="J454">
        <v>0.123981146023748</v>
      </c>
    </row>
    <row r="455" spans="1:11" hidden="1" x14ac:dyDescent="0.2">
      <c r="A455" s="4" t="s">
        <v>84</v>
      </c>
      <c r="B455" t="s">
        <v>26</v>
      </c>
      <c r="C455">
        <v>1</v>
      </c>
      <c r="D455" t="s">
        <v>88</v>
      </c>
      <c r="E455">
        <v>0.15565377485714299</v>
      </c>
      <c r="F455">
        <v>0.46311624438982901</v>
      </c>
      <c r="G455">
        <v>0.336100874764654</v>
      </c>
      <c r="H455">
        <v>-0.79152529592210796</v>
      </c>
      <c r="I455">
        <v>1.1028328456363901</v>
      </c>
      <c r="J455">
        <v>0.73921459428918301</v>
      </c>
    </row>
    <row r="456" spans="1:11" hidden="1" x14ac:dyDescent="0.2">
      <c r="A456" s="4" t="s">
        <v>84</v>
      </c>
      <c r="B456" t="s">
        <v>9</v>
      </c>
      <c r="C456">
        <v>0</v>
      </c>
      <c r="D456" t="s">
        <v>135</v>
      </c>
      <c r="E456">
        <v>-9.3808922282828305E-2</v>
      </c>
      <c r="F456">
        <v>0.28457158268930099</v>
      </c>
      <c r="G456">
        <v>-0.329649648767811</v>
      </c>
      <c r="H456">
        <v>-0.66136904775383298</v>
      </c>
      <c r="I456">
        <v>0.47375120318817698</v>
      </c>
      <c r="J456">
        <v>0.74264912525194704</v>
      </c>
    </row>
    <row r="457" spans="1:11" hidden="1" x14ac:dyDescent="0.2">
      <c r="A457" s="4" t="s">
        <v>84</v>
      </c>
      <c r="B457" t="s">
        <v>9</v>
      </c>
      <c r="C457">
        <v>0</v>
      </c>
      <c r="D457" t="s">
        <v>143</v>
      </c>
      <c r="E457">
        <v>-0.17749412705555501</v>
      </c>
      <c r="F457">
        <v>0.34607831093524999</v>
      </c>
      <c r="G457">
        <v>-0.51287272691516295</v>
      </c>
      <c r="H457">
        <v>-0.86772555396390705</v>
      </c>
      <c r="I457">
        <v>0.51273729985279604</v>
      </c>
      <c r="J457">
        <v>0.60965510805149004</v>
      </c>
    </row>
    <row r="458" spans="1:11" hidden="1" x14ac:dyDescent="0.2">
      <c r="A458" s="4" t="s">
        <v>84</v>
      </c>
      <c r="B458" t="s">
        <v>9</v>
      </c>
      <c r="C458">
        <v>0</v>
      </c>
      <c r="D458" t="s">
        <v>88</v>
      </c>
      <c r="E458">
        <v>-4.3607027777773401E-3</v>
      </c>
      <c r="F458">
        <v>0.39648251406081197</v>
      </c>
      <c r="G458">
        <v>-1.09984743920094E-2</v>
      </c>
      <c r="H458">
        <v>-0.79512014298900202</v>
      </c>
      <c r="I458">
        <v>0.78639873743344701</v>
      </c>
      <c r="J458">
        <v>0.99125595005421097</v>
      </c>
    </row>
    <row r="459" spans="1:11" hidden="1" x14ac:dyDescent="0.2">
      <c r="A459" s="4" t="s">
        <v>84</v>
      </c>
      <c r="B459" t="s">
        <v>9</v>
      </c>
      <c r="C459">
        <v>1</v>
      </c>
      <c r="D459" t="s">
        <v>135</v>
      </c>
      <c r="E459">
        <v>0.115323806035714</v>
      </c>
      <c r="F459">
        <v>0.30599841055975002</v>
      </c>
      <c r="G459">
        <v>0.37687714071702999</v>
      </c>
      <c r="H459">
        <v>-0.51051321368657898</v>
      </c>
      <c r="I459">
        <v>0.74116082575800701</v>
      </c>
      <c r="J459">
        <v>0.70900864925948803</v>
      </c>
    </row>
    <row r="460" spans="1:11" hidden="1" x14ac:dyDescent="0.2">
      <c r="A460" s="4" t="s">
        <v>84</v>
      </c>
      <c r="B460" t="s">
        <v>9</v>
      </c>
      <c r="C460">
        <v>1</v>
      </c>
      <c r="D460" t="s">
        <v>143</v>
      </c>
      <c r="E460">
        <v>1.8891533857142699E-2</v>
      </c>
      <c r="F460">
        <v>0.34391252363617397</v>
      </c>
      <c r="G460">
        <v>5.49312181405993E-2</v>
      </c>
      <c r="H460">
        <v>-0.68448855378422402</v>
      </c>
      <c r="I460">
        <v>0.72227162149850999</v>
      </c>
      <c r="J460">
        <v>0.95656996017840901</v>
      </c>
    </row>
    <row r="461" spans="1:11" hidden="1" x14ac:dyDescent="0.2">
      <c r="A461" s="4" t="s">
        <v>84</v>
      </c>
      <c r="B461" t="s">
        <v>9</v>
      </c>
      <c r="C461">
        <v>1</v>
      </c>
      <c r="D461" t="s">
        <v>88</v>
      </c>
      <c r="E461">
        <v>5.6304247142855797E-3</v>
      </c>
      <c r="F461">
        <v>0.34391252363617397</v>
      </c>
      <c r="G461">
        <v>1.6371676886771401E-2</v>
      </c>
      <c r="H461">
        <v>-0.69774966292708196</v>
      </c>
      <c r="I461">
        <v>0.70901051235565304</v>
      </c>
      <c r="J461">
        <v>0.98704999369512902</v>
      </c>
    </row>
    <row r="462" spans="1:11" x14ac:dyDescent="0.2">
      <c r="A462" s="66" t="s">
        <v>10</v>
      </c>
      <c r="B462" s="118" t="s">
        <v>18</v>
      </c>
      <c r="C462" s="41" t="s">
        <v>66</v>
      </c>
      <c r="D462" s="41" t="s">
        <v>12</v>
      </c>
      <c r="E462" s="41">
        <v>-0.39020540012731703</v>
      </c>
      <c r="F462" s="41">
        <v>0.229402887404769</v>
      </c>
      <c r="G462" s="41">
        <v>-1.7009611541585401</v>
      </c>
      <c r="H462" s="41">
        <v>-0.84506894912617803</v>
      </c>
      <c r="I462" s="41">
        <v>6.46581488715436E-2</v>
      </c>
      <c r="J462" s="41">
        <v>9.1910082649873895E-2</v>
      </c>
      <c r="K462" s="41" t="s">
        <v>200</v>
      </c>
    </row>
    <row r="463" spans="1:11" x14ac:dyDescent="0.2">
      <c r="A463" s="1" t="s">
        <v>10</v>
      </c>
      <c r="B463" s="15" t="s">
        <v>18</v>
      </c>
      <c r="C463" s="159" t="s">
        <v>64</v>
      </c>
      <c r="D463" t="s">
        <v>12</v>
      </c>
      <c r="E463">
        <v>-0.39442750623412698</v>
      </c>
      <c r="F463">
        <v>0.29772840242432902</v>
      </c>
      <c r="G463">
        <v>-1.32478965064267</v>
      </c>
      <c r="H463">
        <v>-0.98793822922747199</v>
      </c>
      <c r="I463">
        <v>0.199083216759218</v>
      </c>
      <c r="J463">
        <v>0.189430309486007</v>
      </c>
    </row>
    <row r="464" spans="1:11" x14ac:dyDescent="0.2">
      <c r="A464" s="1" t="s">
        <v>10</v>
      </c>
      <c r="B464" s="15" t="s">
        <v>18</v>
      </c>
      <c r="C464" s="159" t="s">
        <v>65</v>
      </c>
      <c r="D464" t="s">
        <v>12</v>
      </c>
      <c r="E464">
        <v>-0.33154988189560403</v>
      </c>
      <c r="F464">
        <v>0.30313047659862102</v>
      </c>
      <c r="G464">
        <v>-1.0937530452756601</v>
      </c>
      <c r="H464">
        <v>-0.94978856493104302</v>
      </c>
      <c r="I464">
        <v>0.28668880113983403</v>
      </c>
      <c r="J464">
        <v>0.28248971647056798</v>
      </c>
    </row>
    <row r="465" spans="1:11" x14ac:dyDescent="0.2">
      <c r="A465" s="66" t="s">
        <v>10</v>
      </c>
      <c r="B465" s="119" t="s">
        <v>25</v>
      </c>
      <c r="C465" s="41" t="s">
        <v>66</v>
      </c>
      <c r="D465" s="41" t="s">
        <v>12</v>
      </c>
      <c r="E465" s="41">
        <v>-0.46884557773219498</v>
      </c>
      <c r="F465" s="41">
        <v>0.23872189364375501</v>
      </c>
      <c r="G465" s="41">
        <v>-1.96398231672816</v>
      </c>
      <c r="H465" s="41">
        <v>-0.94218699463831002</v>
      </c>
      <c r="I465" s="41">
        <v>4.4958391739192104E-3</v>
      </c>
      <c r="J465" s="41">
        <v>5.2175714377382297E-2</v>
      </c>
      <c r="K465" s="41" t="s">
        <v>200</v>
      </c>
    </row>
    <row r="466" spans="1:11" x14ac:dyDescent="0.2">
      <c r="A466" s="1" t="s">
        <v>10</v>
      </c>
      <c r="B466" s="12" t="s">
        <v>25</v>
      </c>
      <c r="C466" s="161" t="s">
        <v>64</v>
      </c>
      <c r="D466" s="20" t="s">
        <v>12</v>
      </c>
      <c r="E466" s="20">
        <v>-0.56997406888095303</v>
      </c>
      <c r="F466" s="20">
        <v>0.29862108408283</v>
      </c>
      <c r="G466" s="20">
        <v>-1.9086866241596601</v>
      </c>
      <c r="H466" s="20">
        <v>-1.16526432023715</v>
      </c>
      <c r="I466" s="20">
        <v>2.5316182475239701E-2</v>
      </c>
      <c r="J466" s="20">
        <v>6.0288840127206499E-2</v>
      </c>
      <c r="K466" s="20" t="s">
        <v>200</v>
      </c>
    </row>
    <row r="467" spans="1:11" x14ac:dyDescent="0.2">
      <c r="A467" s="1" t="s">
        <v>10</v>
      </c>
      <c r="B467" s="12" t="s">
        <v>25</v>
      </c>
      <c r="C467" s="159" t="s">
        <v>65</v>
      </c>
      <c r="D467" t="s">
        <v>12</v>
      </c>
      <c r="E467">
        <v>-0.20079809923626299</v>
      </c>
      <c r="F467">
        <v>0.39137651089584902</v>
      </c>
      <c r="G467">
        <v>-0.51305608192132501</v>
      </c>
      <c r="H467">
        <v>-0.99901575581205804</v>
      </c>
      <c r="I467">
        <v>0.597419557339532</v>
      </c>
      <c r="J467">
        <v>0.611549151858786</v>
      </c>
    </row>
    <row r="468" spans="1:11" x14ac:dyDescent="0.2">
      <c r="A468" s="66" t="s">
        <v>10</v>
      </c>
      <c r="B468" s="120" t="s">
        <v>14</v>
      </c>
      <c r="C468" s="42" t="s">
        <v>66</v>
      </c>
      <c r="D468" s="42" t="s">
        <v>12</v>
      </c>
      <c r="E468" s="42">
        <v>-0.301015064041464</v>
      </c>
      <c r="F468" s="42">
        <v>0.22920124320471599</v>
      </c>
      <c r="G468" s="42">
        <v>-1.3133221261483501</v>
      </c>
      <c r="H468" s="42">
        <v>-0.75547878984058903</v>
      </c>
      <c r="I468" s="42">
        <v>0.153448661757661</v>
      </c>
      <c r="J468" s="42">
        <v>0.19193714216093899</v>
      </c>
      <c r="K468" s="42"/>
    </row>
    <row r="469" spans="1:11" x14ac:dyDescent="0.2">
      <c r="A469" s="1" t="s">
        <v>10</v>
      </c>
      <c r="B469" s="121" t="s">
        <v>14</v>
      </c>
      <c r="C469" s="159" t="s">
        <v>64</v>
      </c>
      <c r="D469" t="s">
        <v>12</v>
      </c>
      <c r="E469">
        <v>-0.27517735026190498</v>
      </c>
      <c r="F469">
        <v>0.29346429306733002</v>
      </c>
      <c r="G469">
        <v>-0.937685969852459</v>
      </c>
      <c r="H469">
        <v>-0.86018772660780896</v>
      </c>
      <c r="I469">
        <v>0.30983302608399899</v>
      </c>
      <c r="J469">
        <v>0.35154065995892297</v>
      </c>
    </row>
    <row r="470" spans="1:11" x14ac:dyDescent="0.2">
      <c r="A470" s="1" t="s">
        <v>10</v>
      </c>
      <c r="B470" s="121" t="s">
        <v>14</v>
      </c>
      <c r="C470" s="159" t="s">
        <v>65</v>
      </c>
      <c r="D470" t="s">
        <v>12</v>
      </c>
      <c r="E470">
        <v>-0.31340385297252699</v>
      </c>
      <c r="F470">
        <v>0.32054568149159601</v>
      </c>
      <c r="G470">
        <v>-0.97771977932806498</v>
      </c>
      <c r="H470">
        <v>-0.96716108055893801</v>
      </c>
      <c r="I470">
        <v>0.34035337461388299</v>
      </c>
      <c r="J470">
        <v>0.33578171165252202</v>
      </c>
    </row>
    <row r="471" spans="1:11" x14ac:dyDescent="0.2">
      <c r="A471" s="66" t="s">
        <v>10</v>
      </c>
      <c r="B471" s="122" t="s">
        <v>7</v>
      </c>
      <c r="C471" s="42" t="s">
        <v>66</v>
      </c>
      <c r="D471" s="42" t="s">
        <v>12</v>
      </c>
      <c r="E471" s="42">
        <v>-0.31648935215951202</v>
      </c>
      <c r="F471" s="42">
        <v>0.206361393213887</v>
      </c>
      <c r="G471" s="42">
        <v>-1.53366551383709</v>
      </c>
      <c r="H471" s="42">
        <v>-0.72566587454563303</v>
      </c>
      <c r="I471" s="42">
        <v>9.2687170226607898E-2</v>
      </c>
      <c r="J471" s="42">
        <v>0.128119642136579</v>
      </c>
      <c r="K471" s="42"/>
    </row>
    <row r="472" spans="1:11" x14ac:dyDescent="0.2">
      <c r="A472" s="1" t="s">
        <v>10</v>
      </c>
      <c r="B472" s="123" t="s">
        <v>7</v>
      </c>
      <c r="C472" s="161" t="s">
        <v>64</v>
      </c>
      <c r="D472" s="20" t="s">
        <v>12</v>
      </c>
      <c r="E472" s="20">
        <v>-0.46002203437103201</v>
      </c>
      <c r="F472" s="20">
        <v>0.238821043252429</v>
      </c>
      <c r="G472" s="20">
        <v>-1.9262206885379001</v>
      </c>
      <c r="H472" s="20">
        <v>-0.93610308304692802</v>
      </c>
      <c r="I472" s="20">
        <v>1.6059014304863201E-2</v>
      </c>
      <c r="J472" s="20">
        <v>5.8024924485225997E-2</v>
      </c>
      <c r="K472" s="20" t="s">
        <v>200</v>
      </c>
    </row>
    <row r="473" spans="1:11" x14ac:dyDescent="0.2">
      <c r="A473" s="1" t="s">
        <v>10</v>
      </c>
      <c r="B473" s="123" t="s">
        <v>7</v>
      </c>
      <c r="C473" s="159" t="s">
        <v>65</v>
      </c>
      <c r="D473" t="s">
        <v>12</v>
      </c>
      <c r="E473">
        <v>6.6627449637362904E-2</v>
      </c>
      <c r="F473">
        <v>0.40115248190769998</v>
      </c>
      <c r="G473">
        <v>0.166090084549678</v>
      </c>
      <c r="H473">
        <v>-0.75152843126868196</v>
      </c>
      <c r="I473">
        <v>0.88478333054340796</v>
      </c>
      <c r="J473">
        <v>0.869164586954005</v>
      </c>
    </row>
    <row r="474" spans="1:11" x14ac:dyDescent="0.2">
      <c r="A474" s="66" t="s">
        <v>10</v>
      </c>
      <c r="B474" s="124" t="s">
        <v>21</v>
      </c>
      <c r="C474" s="43" t="s">
        <v>66</v>
      </c>
      <c r="D474" s="43" t="s">
        <v>12</v>
      </c>
      <c r="E474" s="43">
        <v>-0.54720705988097595</v>
      </c>
      <c r="F474" s="43">
        <v>0.25707156396108699</v>
      </c>
      <c r="G474" s="43">
        <v>-2.1286176170142501</v>
      </c>
      <c r="H474" s="43">
        <v>-1.0569324833614</v>
      </c>
      <c r="I474" s="43">
        <v>-3.7481636400552701E-2</v>
      </c>
      <c r="J474" s="43">
        <v>3.5624772451653602E-2</v>
      </c>
      <c r="K474" s="43" t="s">
        <v>61</v>
      </c>
    </row>
    <row r="475" spans="1:11" x14ac:dyDescent="0.2">
      <c r="A475" s="1" t="s">
        <v>10</v>
      </c>
      <c r="B475" s="9" t="s">
        <v>21</v>
      </c>
      <c r="C475" s="160" t="s">
        <v>64</v>
      </c>
      <c r="D475" s="11" t="s">
        <v>12</v>
      </c>
      <c r="E475" s="11">
        <v>-0.99462969109523902</v>
      </c>
      <c r="F475" s="11">
        <v>0.30882710228453802</v>
      </c>
      <c r="G475" s="11">
        <v>-3.2206684055172001</v>
      </c>
      <c r="H475" s="11">
        <v>-1.61026526789722</v>
      </c>
      <c r="I475" s="11">
        <v>-0.37899411429325403</v>
      </c>
      <c r="J475" s="11">
        <v>1.92047575214208E-3</v>
      </c>
      <c r="K475" s="11" t="s">
        <v>61</v>
      </c>
    </row>
    <row r="476" spans="1:11" x14ac:dyDescent="0.2">
      <c r="A476" s="1" t="s">
        <v>10</v>
      </c>
      <c r="B476" s="9" t="s">
        <v>21</v>
      </c>
      <c r="C476" s="159" t="s">
        <v>65</v>
      </c>
      <c r="D476" t="s">
        <v>12</v>
      </c>
      <c r="E476">
        <v>0.53378160326373802</v>
      </c>
      <c r="F476">
        <v>0.41493008593557701</v>
      </c>
      <c r="G476">
        <v>1.2864374538187</v>
      </c>
      <c r="H476">
        <v>-0.31247388631628797</v>
      </c>
      <c r="I476">
        <v>1.38003709284376</v>
      </c>
      <c r="J476">
        <v>0.20781530489088301</v>
      </c>
    </row>
    <row r="477" spans="1:11" x14ac:dyDescent="0.2">
      <c r="A477" s="66" t="s">
        <v>10</v>
      </c>
      <c r="B477" s="125" t="s">
        <v>11</v>
      </c>
      <c r="C477" s="43" t="s">
        <v>66</v>
      </c>
      <c r="D477" s="43" t="s">
        <v>12</v>
      </c>
      <c r="E477" s="43">
        <v>-0.61772119193658503</v>
      </c>
      <c r="F477" s="43">
        <v>0.23180204999979001</v>
      </c>
      <c r="G477" s="43">
        <v>-2.6648650947528099</v>
      </c>
      <c r="H477" s="43">
        <v>-1.07734183717317</v>
      </c>
      <c r="I477" s="43">
        <v>-0.15810054669999801</v>
      </c>
      <c r="J477" s="43">
        <v>8.9178868475417901E-3</v>
      </c>
      <c r="K477" s="43" t="s">
        <v>61</v>
      </c>
    </row>
    <row r="478" spans="1:11" x14ac:dyDescent="0.2">
      <c r="A478" s="1" t="s">
        <v>10</v>
      </c>
      <c r="B478" s="13" t="s">
        <v>11</v>
      </c>
      <c r="C478" s="160" t="s">
        <v>64</v>
      </c>
      <c r="D478" s="11" t="s">
        <v>12</v>
      </c>
      <c r="E478" s="11">
        <v>-0.68338643392460496</v>
      </c>
      <c r="F478" s="11">
        <v>0.29425792825247898</v>
      </c>
      <c r="G478" s="11">
        <v>-2.3224061896413799</v>
      </c>
      <c r="H478" s="11">
        <v>-1.2699788930973199</v>
      </c>
      <c r="I478" s="11">
        <v>-9.67939747518856E-2</v>
      </c>
      <c r="J478" s="11">
        <v>2.30420619265434E-2</v>
      </c>
      <c r="K478" s="11" t="s">
        <v>61</v>
      </c>
    </row>
    <row r="479" spans="1:11" x14ac:dyDescent="0.2">
      <c r="A479" s="1" t="s">
        <v>10</v>
      </c>
      <c r="B479" s="13" t="s">
        <v>11</v>
      </c>
      <c r="C479" s="159" t="s">
        <v>65</v>
      </c>
      <c r="D479" t="s">
        <v>12</v>
      </c>
      <c r="E479">
        <v>-0.402664401153845</v>
      </c>
      <c r="F479">
        <v>0.33345133840232699</v>
      </c>
      <c r="G479">
        <v>-1.20756570683788</v>
      </c>
      <c r="H479">
        <v>-1.0827428895442699</v>
      </c>
      <c r="I479">
        <v>0.27741408723658101</v>
      </c>
      <c r="J479">
        <v>0.236347153007095</v>
      </c>
    </row>
    <row r="480" spans="1:11" x14ac:dyDescent="0.2">
      <c r="A480" s="66" t="s">
        <v>10</v>
      </c>
      <c r="B480" s="126" t="s">
        <v>13</v>
      </c>
      <c r="C480" s="43" t="s">
        <v>66</v>
      </c>
      <c r="D480" s="43" t="s">
        <v>12</v>
      </c>
      <c r="E480" s="43">
        <v>-0.52366977879317</v>
      </c>
      <c r="F480" s="43">
        <v>0.22914476068985301</v>
      </c>
      <c r="G480" s="43">
        <v>-2.28532294265265</v>
      </c>
      <c r="H480" s="43">
        <v>-0.97802151019912198</v>
      </c>
      <c r="I480" s="43">
        <v>-6.9318047387219306E-2</v>
      </c>
      <c r="J480" s="43">
        <v>2.43033957370478E-2</v>
      </c>
      <c r="K480" s="43" t="s">
        <v>61</v>
      </c>
    </row>
    <row r="481" spans="1:11" x14ac:dyDescent="0.2">
      <c r="A481" s="1" t="s">
        <v>10</v>
      </c>
      <c r="B481" s="14" t="s">
        <v>13</v>
      </c>
      <c r="C481" s="159" t="s">
        <v>64</v>
      </c>
      <c r="D481" t="s">
        <v>12</v>
      </c>
      <c r="E481">
        <v>-0.374919681003969</v>
      </c>
      <c r="F481">
        <v>0.291438520886448</v>
      </c>
      <c r="G481">
        <v>-1.2864451818640901</v>
      </c>
      <c r="H481">
        <v>-0.95589175431292694</v>
      </c>
      <c r="I481">
        <v>0.20605239230499001</v>
      </c>
      <c r="J481">
        <v>0.20240896647412701</v>
      </c>
    </row>
    <row r="482" spans="1:11" x14ac:dyDescent="0.2">
      <c r="A482" s="1" t="s">
        <v>10</v>
      </c>
      <c r="B482" s="14" t="s">
        <v>13</v>
      </c>
      <c r="C482" s="160" t="s">
        <v>65</v>
      </c>
      <c r="D482" s="11" t="s">
        <v>12</v>
      </c>
      <c r="E482" s="11">
        <v>-0.86226500493406599</v>
      </c>
      <c r="F482" s="11">
        <v>0.34416611024031002</v>
      </c>
      <c r="G482" s="11">
        <v>-2.50537452491182</v>
      </c>
      <c r="H482" s="11">
        <v>-1.56419641456313</v>
      </c>
      <c r="I482" s="11">
        <v>-0.16033359530500499</v>
      </c>
      <c r="J482" s="11">
        <v>1.7696334172676902E-2</v>
      </c>
      <c r="K482" s="11" t="s">
        <v>61</v>
      </c>
    </row>
    <row r="483" spans="1:11" x14ac:dyDescent="0.2">
      <c r="A483" s="66" t="s">
        <v>10</v>
      </c>
      <c r="B483" s="128" t="s">
        <v>17</v>
      </c>
      <c r="C483" s="43" t="s">
        <v>66</v>
      </c>
      <c r="D483" s="43" t="s">
        <v>12</v>
      </c>
      <c r="E483" s="43">
        <v>-0.60825251854585405</v>
      </c>
      <c r="F483" s="43">
        <v>0.26001214840498199</v>
      </c>
      <c r="G483" s="43">
        <v>-2.3393234596041599</v>
      </c>
      <c r="H483" s="43">
        <v>-1.12380857777552</v>
      </c>
      <c r="I483" s="43">
        <v>-9.2696459316190499E-2</v>
      </c>
      <c r="J483" s="43">
        <v>2.1211129463681699E-2</v>
      </c>
      <c r="K483" s="43" t="s">
        <v>61</v>
      </c>
    </row>
    <row r="484" spans="1:11" x14ac:dyDescent="0.2">
      <c r="A484" s="1" t="s">
        <v>10</v>
      </c>
      <c r="B484" s="127" t="s">
        <v>17</v>
      </c>
      <c r="C484" s="160" t="s">
        <v>64</v>
      </c>
      <c r="D484" s="11" t="s">
        <v>12</v>
      </c>
      <c r="E484" s="11">
        <v>-0.98952885011706504</v>
      </c>
      <c r="F484" s="11">
        <v>0.341916483175918</v>
      </c>
      <c r="G484" s="11">
        <v>-2.8940659453611302</v>
      </c>
      <c r="H484" s="11">
        <v>-1.67112690216941</v>
      </c>
      <c r="I484" s="11">
        <v>-0.30793079806471602</v>
      </c>
      <c r="J484" s="11">
        <v>5.0292339621301196E-3</v>
      </c>
      <c r="K484" s="11" t="s">
        <v>61</v>
      </c>
    </row>
    <row r="485" spans="1:11" x14ac:dyDescent="0.2">
      <c r="A485" s="1" t="s">
        <v>10</v>
      </c>
      <c r="B485" s="127" t="s">
        <v>17</v>
      </c>
      <c r="C485" s="159" t="s">
        <v>65</v>
      </c>
      <c r="D485" t="s">
        <v>12</v>
      </c>
      <c r="E485">
        <v>0.328267315098902</v>
      </c>
      <c r="F485">
        <v>0.29113141685997301</v>
      </c>
      <c r="G485">
        <v>1.1275571652123999</v>
      </c>
      <c r="H485">
        <v>-0.26549912425545102</v>
      </c>
      <c r="I485">
        <v>0.92203375445325397</v>
      </c>
      <c r="J485">
        <v>0.26815893197007501</v>
      </c>
    </row>
    <row r="486" spans="1:11" x14ac:dyDescent="0.2">
      <c r="A486" s="66" t="s">
        <v>10</v>
      </c>
      <c r="B486" s="129" t="s">
        <v>26</v>
      </c>
      <c r="C486" s="41" t="s">
        <v>66</v>
      </c>
      <c r="D486" s="41" t="s">
        <v>12</v>
      </c>
      <c r="E486" s="41">
        <v>-0.47380184888878102</v>
      </c>
      <c r="F486" s="41">
        <v>0.26938266661091498</v>
      </c>
      <c r="G486" s="41">
        <v>-1.7588431165584999</v>
      </c>
      <c r="H486" s="41">
        <v>-1.0079379147405401</v>
      </c>
      <c r="I486" s="41">
        <v>6.03342169629816E-2</v>
      </c>
      <c r="J486" s="41">
        <v>8.1517414325397705E-2</v>
      </c>
      <c r="K486" s="41" t="s">
        <v>200</v>
      </c>
    </row>
    <row r="487" spans="1:11" x14ac:dyDescent="0.2">
      <c r="A487" s="1" t="s">
        <v>10</v>
      </c>
      <c r="B487" s="53" t="s">
        <v>26</v>
      </c>
      <c r="C487" s="160" t="s">
        <v>64</v>
      </c>
      <c r="D487" s="11" t="s">
        <v>12</v>
      </c>
      <c r="E487" s="11">
        <v>-0.83416357154960397</v>
      </c>
      <c r="F487" s="11">
        <v>0.34512583649384898</v>
      </c>
      <c r="G487" s="11">
        <v>-2.4169838457297601</v>
      </c>
      <c r="H487" s="11">
        <v>-1.52215935251379</v>
      </c>
      <c r="I487" s="11">
        <v>-0.14616779058541399</v>
      </c>
      <c r="J487" s="11">
        <v>1.81844739316687E-2</v>
      </c>
      <c r="K487" s="11" t="s">
        <v>61</v>
      </c>
    </row>
    <row r="488" spans="1:11" x14ac:dyDescent="0.2">
      <c r="A488" s="1" t="s">
        <v>10</v>
      </c>
      <c r="B488" s="53" t="s">
        <v>26</v>
      </c>
      <c r="C488" s="159" t="s">
        <v>65</v>
      </c>
      <c r="D488" t="s">
        <v>12</v>
      </c>
      <c r="E488">
        <v>0.420534557126374</v>
      </c>
      <c r="F488">
        <v>0.36643203720303302</v>
      </c>
      <c r="G488">
        <v>1.14764680603886</v>
      </c>
      <c r="H488">
        <v>-0.326808509939641</v>
      </c>
      <c r="I488">
        <v>1.1678776241923901</v>
      </c>
      <c r="J488">
        <v>0.259894348280097</v>
      </c>
    </row>
    <row r="489" spans="1:11" x14ac:dyDescent="0.2">
      <c r="A489" s="66" t="s">
        <v>10</v>
      </c>
      <c r="B489" s="130" t="s">
        <v>9</v>
      </c>
      <c r="C489" s="42" t="s">
        <v>66</v>
      </c>
      <c r="D489" s="42" t="s">
        <v>12</v>
      </c>
      <c r="E489" s="42">
        <v>-7.2303900743902097E-2</v>
      </c>
      <c r="F489" s="42">
        <v>0.20410915151419501</v>
      </c>
      <c r="G489" s="42">
        <v>-0.35424134688479902</v>
      </c>
      <c r="H489" s="42">
        <v>-0.47701464388759601</v>
      </c>
      <c r="I489" s="42">
        <v>0.33240684239979201</v>
      </c>
      <c r="J489" s="42">
        <v>0.72386842132724105</v>
      </c>
      <c r="K489" s="42"/>
    </row>
    <row r="490" spans="1:11" x14ac:dyDescent="0.2">
      <c r="A490" s="1" t="s">
        <v>10</v>
      </c>
      <c r="B490" s="5" t="s">
        <v>9</v>
      </c>
      <c r="C490" s="159" t="s">
        <v>64</v>
      </c>
      <c r="D490" t="s">
        <v>12</v>
      </c>
      <c r="E490">
        <v>-0.100354616769842</v>
      </c>
      <c r="F490">
        <v>0.25978779102823801</v>
      </c>
      <c r="G490">
        <v>-0.38629458440921599</v>
      </c>
      <c r="H490">
        <v>-0.61823211324820204</v>
      </c>
      <c r="I490">
        <v>0.41752287970851898</v>
      </c>
      <c r="J490">
        <v>0.70041772050142403</v>
      </c>
    </row>
    <row r="491" spans="1:11" x14ac:dyDescent="0.2">
      <c r="A491" s="1" t="s">
        <v>10</v>
      </c>
      <c r="B491" s="5" t="s">
        <v>9</v>
      </c>
      <c r="C491" s="159" t="s">
        <v>65</v>
      </c>
      <c r="D491" t="s">
        <v>12</v>
      </c>
      <c r="E491">
        <v>5.9828437785714297E-2</v>
      </c>
      <c r="F491">
        <v>0.26574826286516801</v>
      </c>
      <c r="G491">
        <v>0.22513199951214499</v>
      </c>
      <c r="H491">
        <v>-0.48216871768428299</v>
      </c>
      <c r="I491">
        <v>0.60182559325571106</v>
      </c>
      <c r="J491">
        <v>0.82335410802065501</v>
      </c>
    </row>
    <row r="492" spans="1:11" hidden="1" x14ac:dyDescent="0.2">
      <c r="A492" s="72" t="s">
        <v>275</v>
      </c>
      <c r="B492" s="118" t="s">
        <v>18</v>
      </c>
      <c r="C492" s="42" t="s">
        <v>66</v>
      </c>
      <c r="D492" s="42" t="s">
        <v>275</v>
      </c>
      <c r="E492" s="42">
        <v>0.12215557152809201</v>
      </c>
      <c r="F492" s="42">
        <v>9.1981848776815506E-2</v>
      </c>
      <c r="G492" s="42">
        <v>1.3280399682386299</v>
      </c>
      <c r="H492" s="42">
        <v>-6.0227443138483702E-2</v>
      </c>
      <c r="I492" s="42">
        <v>0.304538586194668</v>
      </c>
      <c r="J492" s="42">
        <v>0.187044548467063</v>
      </c>
      <c r="K492" s="42"/>
    </row>
    <row r="493" spans="1:11" hidden="1" x14ac:dyDescent="0.2">
      <c r="A493" s="70" t="s">
        <v>275</v>
      </c>
      <c r="B493" s="15" t="s">
        <v>18</v>
      </c>
      <c r="C493" s="159" t="s">
        <v>64</v>
      </c>
      <c r="D493" t="s">
        <v>275</v>
      </c>
      <c r="E493">
        <v>8.3345466095422094E-2</v>
      </c>
      <c r="F493">
        <v>0.13260287209477101</v>
      </c>
      <c r="G493">
        <v>0.62853439581501003</v>
      </c>
      <c r="H493">
        <v>-0.18099352826022899</v>
      </c>
      <c r="I493">
        <v>0.34768446045107299</v>
      </c>
      <c r="J493">
        <v>0.53164282023015297</v>
      </c>
    </row>
    <row r="494" spans="1:11" hidden="1" x14ac:dyDescent="0.2">
      <c r="A494" s="70" t="s">
        <v>275</v>
      </c>
      <c r="B494" s="15" t="s">
        <v>18</v>
      </c>
      <c r="C494" s="159" t="s">
        <v>65</v>
      </c>
      <c r="D494" t="s">
        <v>275</v>
      </c>
      <c r="E494">
        <v>0.12693107567776399</v>
      </c>
      <c r="F494">
        <v>0.101933556408506</v>
      </c>
      <c r="G494">
        <v>1.2452334653083099</v>
      </c>
      <c r="H494">
        <v>-8.0963783256390198E-2</v>
      </c>
      <c r="I494">
        <v>0.33482593461191801</v>
      </c>
      <c r="J494">
        <v>0.222376755893333</v>
      </c>
    </row>
    <row r="495" spans="1:11" hidden="1" x14ac:dyDescent="0.2">
      <c r="A495" s="72" t="s">
        <v>275</v>
      </c>
      <c r="B495" s="119" t="s">
        <v>25</v>
      </c>
      <c r="C495" s="42" t="s">
        <v>66</v>
      </c>
      <c r="D495" s="42" t="s">
        <v>275</v>
      </c>
      <c r="E495" s="42">
        <v>0.138272032311656</v>
      </c>
      <c r="F495" s="42">
        <v>9.6005492623361499E-2</v>
      </c>
      <c r="G495" s="42">
        <v>1.4402512661865099</v>
      </c>
      <c r="H495" s="42">
        <v>-5.2089124830162897E-2</v>
      </c>
      <c r="I495" s="42">
        <v>0.32863318945347503</v>
      </c>
      <c r="J495" s="42">
        <v>0.15277142826682499</v>
      </c>
      <c r="K495" s="42"/>
    </row>
    <row r="496" spans="1:11" hidden="1" x14ac:dyDescent="0.2">
      <c r="A496" s="70" t="s">
        <v>275</v>
      </c>
      <c r="B496" s="12" t="s">
        <v>25</v>
      </c>
      <c r="C496" s="159" t="s">
        <v>64</v>
      </c>
      <c r="D496" t="s">
        <v>275</v>
      </c>
      <c r="E496">
        <v>0.11083305241182199</v>
      </c>
      <c r="F496">
        <v>0.134427928318436</v>
      </c>
      <c r="G496">
        <v>0.82447936078637996</v>
      </c>
      <c r="H496">
        <v>-0.157144125032815</v>
      </c>
      <c r="I496">
        <v>0.37881022985645801</v>
      </c>
      <c r="J496">
        <v>0.41239030493899798</v>
      </c>
    </row>
    <row r="497" spans="1:11" hidden="1" x14ac:dyDescent="0.2">
      <c r="A497" s="70" t="s">
        <v>275</v>
      </c>
      <c r="B497" s="12" t="s">
        <v>25</v>
      </c>
      <c r="C497" s="159" t="s">
        <v>65</v>
      </c>
      <c r="D497" t="s">
        <v>275</v>
      </c>
      <c r="E497">
        <v>0.161317674700377</v>
      </c>
      <c r="F497">
        <v>0.12969388951626401</v>
      </c>
      <c r="G497">
        <v>1.2438340410798401</v>
      </c>
      <c r="H497">
        <v>-0.103194756883494</v>
      </c>
      <c r="I497">
        <v>0.425830106284248</v>
      </c>
      <c r="J497">
        <v>0.22288444912962399</v>
      </c>
    </row>
    <row r="498" spans="1:11" hidden="1" x14ac:dyDescent="0.2">
      <c r="A498" s="72" t="s">
        <v>275</v>
      </c>
      <c r="B498" s="120" t="s">
        <v>14</v>
      </c>
      <c r="C498" s="42" t="s">
        <v>66</v>
      </c>
      <c r="D498" s="42" t="s">
        <v>275</v>
      </c>
      <c r="E498" s="42">
        <v>8.7658812883439297E-2</v>
      </c>
      <c r="F498" s="42">
        <v>9.1768590240566605E-2</v>
      </c>
      <c r="G498" s="42">
        <v>0.955215860390208</v>
      </c>
      <c r="H498" s="42">
        <v>-9.4301349500195406E-2</v>
      </c>
      <c r="I498" s="42">
        <v>0.26961897526707401</v>
      </c>
      <c r="J498" s="42">
        <v>0.34166257332238098</v>
      </c>
      <c r="K498" s="42"/>
    </row>
    <row r="499" spans="1:11" hidden="1" x14ac:dyDescent="0.2">
      <c r="A499" s="70" t="s">
        <v>275</v>
      </c>
      <c r="B499" s="121" t="s">
        <v>14</v>
      </c>
      <c r="C499" s="159" t="s">
        <v>64</v>
      </c>
      <c r="D499" t="s">
        <v>275</v>
      </c>
      <c r="E499">
        <v>1.9112818467645301E-2</v>
      </c>
      <c r="F499">
        <v>0.13026185096434101</v>
      </c>
      <c r="G499">
        <v>0.14672613912785101</v>
      </c>
      <c r="H499">
        <v>-0.240559435555707</v>
      </c>
      <c r="I499">
        <v>0.27878507249099799</v>
      </c>
      <c r="J499">
        <v>0.88375825002806097</v>
      </c>
    </row>
    <row r="500" spans="1:11" hidden="1" x14ac:dyDescent="0.2">
      <c r="A500" s="70" t="s">
        <v>275</v>
      </c>
      <c r="B500" s="121" t="s">
        <v>14</v>
      </c>
      <c r="C500" s="159" t="s">
        <v>65</v>
      </c>
      <c r="D500" t="s">
        <v>275</v>
      </c>
      <c r="E500">
        <v>0.13070168583040201</v>
      </c>
      <c r="F500">
        <v>0.10750652098774</v>
      </c>
      <c r="G500">
        <v>1.2157558874526999</v>
      </c>
      <c r="H500">
        <v>-8.8559309299392E-2</v>
      </c>
      <c r="I500">
        <v>0.349962680960196</v>
      </c>
      <c r="J500">
        <v>0.233255399699592</v>
      </c>
    </row>
    <row r="501" spans="1:11" hidden="1" x14ac:dyDescent="0.2">
      <c r="A501" s="72" t="s">
        <v>275</v>
      </c>
      <c r="B501" s="122" t="s">
        <v>7</v>
      </c>
      <c r="C501" s="42" t="s">
        <v>66</v>
      </c>
      <c r="D501" s="42" t="s">
        <v>275</v>
      </c>
      <c r="E501" s="42">
        <v>0.131052717047726</v>
      </c>
      <c r="F501" s="42">
        <v>8.2237053441500702E-2</v>
      </c>
      <c r="G501" s="42">
        <v>1.5935969439974</v>
      </c>
      <c r="H501" s="42">
        <v>-3.2008168587981098E-2</v>
      </c>
      <c r="I501" s="42">
        <v>0.29411360268343301</v>
      </c>
      <c r="J501" s="42">
        <v>0.114032265662955</v>
      </c>
      <c r="K501" s="42"/>
    </row>
    <row r="502" spans="1:11" hidden="1" x14ac:dyDescent="0.2">
      <c r="A502" s="70" t="s">
        <v>275</v>
      </c>
      <c r="B502" s="123" t="s">
        <v>7</v>
      </c>
      <c r="C502" s="159" t="s">
        <v>64</v>
      </c>
      <c r="D502" t="s">
        <v>275</v>
      </c>
      <c r="E502">
        <v>0.14359309724434999</v>
      </c>
      <c r="F502">
        <v>0.106729251934901</v>
      </c>
      <c r="G502">
        <v>1.34539589326395</v>
      </c>
      <c r="H502">
        <v>-6.9167777984951898E-2</v>
      </c>
      <c r="I502">
        <v>0.35635397247365203</v>
      </c>
      <c r="J502">
        <v>0.182719402345913</v>
      </c>
    </row>
    <row r="503" spans="1:11" hidden="1" x14ac:dyDescent="0.2">
      <c r="A503" s="70" t="s">
        <v>275</v>
      </c>
      <c r="B503" s="123" t="s">
        <v>7</v>
      </c>
      <c r="C503" s="159" t="s">
        <v>65</v>
      </c>
      <c r="D503" t="s">
        <v>275</v>
      </c>
      <c r="E503">
        <v>8.4624925496231199E-2</v>
      </c>
      <c r="F503">
        <v>0.13484202134752299</v>
      </c>
      <c r="G503">
        <v>0.62758570845011896</v>
      </c>
      <c r="H503">
        <v>-0.190387190181313</v>
      </c>
      <c r="I503">
        <v>0.35963704117377499</v>
      </c>
      <c r="J503">
        <v>0.53487126852120404</v>
      </c>
    </row>
    <row r="504" spans="1:11" hidden="1" x14ac:dyDescent="0.2">
      <c r="A504" s="72" t="s">
        <v>275</v>
      </c>
      <c r="B504" s="124" t="s">
        <v>21</v>
      </c>
      <c r="C504" s="42" t="s">
        <v>66</v>
      </c>
      <c r="D504" s="42" t="s">
        <v>275</v>
      </c>
      <c r="E504" s="42">
        <v>0.112233708300326</v>
      </c>
      <c r="F504" s="42">
        <v>0.104149553836187</v>
      </c>
      <c r="G504" s="42">
        <v>1.07762063461985</v>
      </c>
      <c r="H504" s="42">
        <v>-9.4275617805004597E-2</v>
      </c>
      <c r="I504" s="42">
        <v>0.31874303440565599</v>
      </c>
      <c r="J504" s="42">
        <v>0.28367263112302699</v>
      </c>
      <c r="K504" s="42"/>
    </row>
    <row r="505" spans="1:11" hidden="1" x14ac:dyDescent="0.2">
      <c r="A505" s="70" t="s">
        <v>275</v>
      </c>
      <c r="B505" s="9" t="s">
        <v>21</v>
      </c>
      <c r="C505" s="160" t="s">
        <v>64</v>
      </c>
      <c r="D505" s="11" t="s">
        <v>275</v>
      </c>
      <c r="E505" s="11">
        <v>0.31478219396696999</v>
      </c>
      <c r="F505" s="11">
        <v>0.140957923063493</v>
      </c>
      <c r="G505" s="11">
        <v>2.23316424593727</v>
      </c>
      <c r="H505" s="11">
        <v>3.3787709907569199E-2</v>
      </c>
      <c r="I505" s="11">
        <v>0.59577667802637002</v>
      </c>
      <c r="J505" s="11">
        <v>2.8646830961776299E-2</v>
      </c>
      <c r="K505" s="11" t="s">
        <v>61</v>
      </c>
    </row>
    <row r="506" spans="1:11" hidden="1" x14ac:dyDescent="0.2">
      <c r="A506" s="70" t="s">
        <v>275</v>
      </c>
      <c r="B506" s="9" t="s">
        <v>21</v>
      </c>
      <c r="C506" s="159" t="s">
        <v>65</v>
      </c>
      <c r="D506" t="s">
        <v>275</v>
      </c>
      <c r="E506">
        <v>-0.15119139022424599</v>
      </c>
      <c r="F506">
        <v>0.141406365796788</v>
      </c>
      <c r="G506">
        <v>-1.0691979061361301</v>
      </c>
      <c r="H506">
        <v>-0.43959157467284499</v>
      </c>
      <c r="I506">
        <v>0.137208794224353</v>
      </c>
      <c r="J506">
        <v>0.29323559963754198</v>
      </c>
    </row>
    <row r="507" spans="1:11" hidden="1" x14ac:dyDescent="0.2">
      <c r="A507" s="72" t="s">
        <v>275</v>
      </c>
      <c r="B507" s="125" t="s">
        <v>11</v>
      </c>
      <c r="C507" s="43" t="s">
        <v>66</v>
      </c>
      <c r="D507" s="43" t="s">
        <v>275</v>
      </c>
      <c r="E507" s="43">
        <v>0.19823939245429201</v>
      </c>
      <c r="F507" s="43">
        <v>9.3551999163155694E-2</v>
      </c>
      <c r="G507" s="43">
        <v>2.11902892752255</v>
      </c>
      <c r="H507" s="43">
        <v>1.27430596195253E-2</v>
      </c>
      <c r="I507" s="43">
        <v>0.38373572528905903</v>
      </c>
      <c r="J507" s="43">
        <v>3.6446110588913602E-2</v>
      </c>
      <c r="K507" s="43" t="s">
        <v>61</v>
      </c>
    </row>
    <row r="508" spans="1:11" hidden="1" x14ac:dyDescent="0.2">
      <c r="A508" s="70" t="s">
        <v>275</v>
      </c>
      <c r="B508" s="13" t="s">
        <v>11</v>
      </c>
      <c r="C508" s="159" t="s">
        <v>64</v>
      </c>
      <c r="D508" t="s">
        <v>275</v>
      </c>
      <c r="E508">
        <v>0.17514299147363299</v>
      </c>
      <c r="F508">
        <v>0.133026933112732</v>
      </c>
      <c r="G508">
        <v>1.31659798038951</v>
      </c>
      <c r="H508">
        <v>-9.0041353071363406E-2</v>
      </c>
      <c r="I508">
        <v>0.44032733601863</v>
      </c>
      <c r="J508">
        <v>0.192149048619494</v>
      </c>
    </row>
    <row r="509" spans="1:11" hidden="1" x14ac:dyDescent="0.2">
      <c r="A509" s="70" t="s">
        <v>275</v>
      </c>
      <c r="B509" s="13" t="s">
        <v>11</v>
      </c>
      <c r="C509" s="159" t="s">
        <v>65</v>
      </c>
      <c r="D509" t="s">
        <v>275</v>
      </c>
      <c r="E509">
        <v>0.17736269161871901</v>
      </c>
      <c r="F509">
        <v>0.11088088707812201</v>
      </c>
      <c r="G509">
        <v>1.59957857744912</v>
      </c>
      <c r="H509">
        <v>-4.87803685254731E-2</v>
      </c>
      <c r="I509">
        <v>0.40350575176291098</v>
      </c>
      <c r="J509">
        <v>0.11983581843845099</v>
      </c>
    </row>
    <row r="510" spans="1:11" hidden="1" x14ac:dyDescent="0.2">
      <c r="A510" s="72" t="s">
        <v>275</v>
      </c>
      <c r="B510" s="126" t="s">
        <v>13</v>
      </c>
      <c r="C510" s="43" t="s">
        <v>66</v>
      </c>
      <c r="D510" s="43" t="s">
        <v>275</v>
      </c>
      <c r="E510" s="43">
        <v>0.19365647543915901</v>
      </c>
      <c r="F510" s="43">
        <v>9.1714629700868605E-2</v>
      </c>
      <c r="G510" s="43">
        <v>2.1115112831047602</v>
      </c>
      <c r="H510" s="43">
        <v>1.18033068378196E-2</v>
      </c>
      <c r="I510" s="43">
        <v>0.37550964404049803</v>
      </c>
      <c r="J510" s="43">
        <v>3.7101447244620299E-2</v>
      </c>
      <c r="K510" s="43" t="s">
        <v>61</v>
      </c>
    </row>
    <row r="511" spans="1:11" hidden="1" x14ac:dyDescent="0.2">
      <c r="A511" s="70" t="s">
        <v>275</v>
      </c>
      <c r="B511" s="14" t="s">
        <v>13</v>
      </c>
      <c r="C511" s="159" t="s">
        <v>64</v>
      </c>
      <c r="D511" t="s">
        <v>275</v>
      </c>
      <c r="E511">
        <v>0.15427998590824801</v>
      </c>
      <c r="F511">
        <v>0.12879162095638499</v>
      </c>
      <c r="G511">
        <v>1.19790390681157</v>
      </c>
      <c r="H511">
        <v>-0.10246141815963</v>
      </c>
      <c r="I511">
        <v>0.41102138997612703</v>
      </c>
      <c r="J511">
        <v>0.23488300319887501</v>
      </c>
    </row>
    <row r="512" spans="1:11" hidden="1" x14ac:dyDescent="0.2">
      <c r="A512" s="70" t="s">
        <v>275</v>
      </c>
      <c r="B512" s="14" t="s">
        <v>13</v>
      </c>
      <c r="C512" s="161" t="s">
        <v>65</v>
      </c>
      <c r="D512" s="20" t="s">
        <v>275</v>
      </c>
      <c r="E512" s="20">
        <v>0.22424383141708501</v>
      </c>
      <c r="F512" s="20">
        <v>0.121083450207238</v>
      </c>
      <c r="G512" s="20">
        <v>1.8519775496427</v>
      </c>
      <c r="H512" s="20">
        <v>-2.2707493416647299E-2</v>
      </c>
      <c r="I512" s="20">
        <v>0.47119515625081798</v>
      </c>
      <c r="J512" s="20">
        <v>7.3573810200348297E-2</v>
      </c>
      <c r="K512" s="20" t="s">
        <v>200</v>
      </c>
    </row>
    <row r="513" spans="1:11" hidden="1" x14ac:dyDescent="0.2">
      <c r="A513" s="72" t="s">
        <v>275</v>
      </c>
      <c r="B513" s="128" t="s">
        <v>17</v>
      </c>
      <c r="C513" s="42" t="s">
        <v>66</v>
      </c>
      <c r="D513" s="42" t="s">
        <v>275</v>
      </c>
      <c r="E513" s="42">
        <v>0.14014459707356799</v>
      </c>
      <c r="F513" s="42">
        <v>0.105493172437939</v>
      </c>
      <c r="G513" s="42">
        <v>1.32847078000251</v>
      </c>
      <c r="H513" s="42">
        <v>-6.9028876517471693E-2</v>
      </c>
      <c r="I513" s="42">
        <v>0.34931807066460802</v>
      </c>
      <c r="J513" s="42">
        <v>0.186902755872106</v>
      </c>
      <c r="K513" s="42"/>
    </row>
    <row r="514" spans="1:11" hidden="1" x14ac:dyDescent="0.2">
      <c r="A514" s="70" t="s">
        <v>275</v>
      </c>
      <c r="B514" s="127" t="s">
        <v>17</v>
      </c>
      <c r="C514" s="160" t="s">
        <v>64</v>
      </c>
      <c r="D514" s="11" t="s">
        <v>275</v>
      </c>
      <c r="E514" s="11">
        <v>0.32936778724029397</v>
      </c>
      <c r="F514" s="11">
        <v>0.15460870515206199</v>
      </c>
      <c r="G514" s="11">
        <v>2.13033145136525</v>
      </c>
      <c r="H514" s="11">
        <v>2.1160966430890299E-2</v>
      </c>
      <c r="I514" s="11">
        <v>0.63757460804969701</v>
      </c>
      <c r="J514" s="11">
        <v>3.6561496700627701E-2</v>
      </c>
      <c r="K514" s="11" t="s">
        <v>61</v>
      </c>
    </row>
    <row r="515" spans="1:11" hidden="1" x14ac:dyDescent="0.2">
      <c r="A515" s="70" t="s">
        <v>275</v>
      </c>
      <c r="B515" s="127" t="s">
        <v>17</v>
      </c>
      <c r="C515" s="159" t="s">
        <v>65</v>
      </c>
      <c r="D515" t="s">
        <v>275</v>
      </c>
      <c r="E515">
        <v>-0.12464382561871799</v>
      </c>
      <c r="F515">
        <v>9.7907326037001197E-2</v>
      </c>
      <c r="G515">
        <v>-1.27307966281924</v>
      </c>
      <c r="H515">
        <v>-0.32432713357190002</v>
      </c>
      <c r="I515">
        <v>7.5039482334462698E-2</v>
      </c>
      <c r="J515">
        <v>0.212454387269046</v>
      </c>
    </row>
    <row r="516" spans="1:11" hidden="1" x14ac:dyDescent="0.2">
      <c r="A516" s="72" t="s">
        <v>275</v>
      </c>
      <c r="B516" s="129" t="s">
        <v>26</v>
      </c>
      <c r="C516" s="42" t="s">
        <v>66</v>
      </c>
      <c r="D516" s="42" t="s">
        <v>275</v>
      </c>
      <c r="E516" s="42">
        <v>0.14047952075376399</v>
      </c>
      <c r="F516" s="42">
        <v>0.108151171425166</v>
      </c>
      <c r="G516" s="42">
        <v>1.29891816151956</v>
      </c>
      <c r="H516" s="42">
        <v>-7.3964273826882795E-2</v>
      </c>
      <c r="I516" s="42">
        <v>0.35492331533441002</v>
      </c>
      <c r="J516" s="42">
        <v>0.196817210936825</v>
      </c>
      <c r="K516" s="42"/>
    </row>
    <row r="517" spans="1:11" hidden="1" x14ac:dyDescent="0.2">
      <c r="A517" s="70" t="s">
        <v>275</v>
      </c>
      <c r="B517" s="53" t="s">
        <v>26</v>
      </c>
      <c r="C517" s="161" t="s">
        <v>64</v>
      </c>
      <c r="D517" s="20" t="s">
        <v>275</v>
      </c>
      <c r="E517" s="20">
        <v>0.28072544665037702</v>
      </c>
      <c r="F517" s="20">
        <v>0.154851936438477</v>
      </c>
      <c r="G517" s="20">
        <v>1.8128636496703401</v>
      </c>
      <c r="H517" s="20">
        <v>-2.7966246866766901E-2</v>
      </c>
      <c r="I517" s="20">
        <v>0.58941714016752</v>
      </c>
      <c r="J517" s="20">
        <v>7.4021193479911401E-2</v>
      </c>
      <c r="K517" s="20" t="s">
        <v>200</v>
      </c>
    </row>
    <row r="518" spans="1:11" hidden="1" x14ac:dyDescent="0.2">
      <c r="A518" s="70" t="s">
        <v>275</v>
      </c>
      <c r="B518" s="53" t="s">
        <v>26</v>
      </c>
      <c r="C518" s="159" t="s">
        <v>65</v>
      </c>
      <c r="D518" t="s">
        <v>275</v>
      </c>
      <c r="E518">
        <v>-6.3521821456658203E-2</v>
      </c>
      <c r="F518">
        <v>0.12598516906938301</v>
      </c>
      <c r="G518">
        <v>-0.50420078748852704</v>
      </c>
      <c r="H518">
        <v>-0.32047026782019</v>
      </c>
      <c r="I518">
        <v>0.19342662490687401</v>
      </c>
      <c r="J518">
        <v>0.61768524744522102</v>
      </c>
    </row>
    <row r="519" spans="1:11" hidden="1" x14ac:dyDescent="0.2">
      <c r="A519" s="72" t="s">
        <v>275</v>
      </c>
      <c r="B519" s="130" t="s">
        <v>9</v>
      </c>
      <c r="C519" s="42" t="s">
        <v>66</v>
      </c>
      <c r="D519" s="42" t="s">
        <v>275</v>
      </c>
      <c r="E519" s="42">
        <v>6.1456100604997801E-2</v>
      </c>
      <c r="F519" s="42">
        <v>8.1238032547777395E-2</v>
      </c>
      <c r="G519" s="42">
        <v>0.756494202008824</v>
      </c>
      <c r="H519" s="42">
        <v>-9.96239111437945E-2</v>
      </c>
      <c r="I519" s="42">
        <v>0.22253611235379001</v>
      </c>
      <c r="J519" s="42">
        <v>0.45104697722527998</v>
      </c>
      <c r="K519" s="42"/>
    </row>
    <row r="520" spans="1:11" hidden="1" x14ac:dyDescent="0.2">
      <c r="A520" s="70" t="s">
        <v>275</v>
      </c>
      <c r="B520" s="5" t="s">
        <v>9</v>
      </c>
      <c r="C520" s="159" t="s">
        <v>64</v>
      </c>
      <c r="D520" t="s">
        <v>275</v>
      </c>
      <c r="E520">
        <v>3.1300393064323001E-2</v>
      </c>
      <c r="F520">
        <v>0.114692494300304</v>
      </c>
      <c r="G520">
        <v>0.27290707430573302</v>
      </c>
      <c r="H520">
        <v>-0.19733491569290801</v>
      </c>
      <c r="I520">
        <v>0.25993570182155401</v>
      </c>
      <c r="J520">
        <v>0.78570587420054605</v>
      </c>
    </row>
    <row r="521" spans="1:11" hidden="1" x14ac:dyDescent="0.2">
      <c r="A521" s="70" t="s">
        <v>275</v>
      </c>
      <c r="B521" s="5" t="s">
        <v>9</v>
      </c>
      <c r="C521" s="159" t="s">
        <v>65</v>
      </c>
      <c r="D521" t="s">
        <v>275</v>
      </c>
      <c r="E521">
        <v>3.5556433736809098E-2</v>
      </c>
      <c r="F521">
        <v>8.9699800347142103E-2</v>
      </c>
      <c r="G521">
        <v>0.39639367756900401</v>
      </c>
      <c r="H521">
        <v>-0.147387515210261</v>
      </c>
      <c r="I521">
        <v>0.218500382683879</v>
      </c>
      <c r="J521">
        <v>0.69453012575435302</v>
      </c>
    </row>
    <row r="522" spans="1:11" hidden="1" x14ac:dyDescent="0.2">
      <c r="A522" s="70" t="s">
        <v>228</v>
      </c>
      <c r="B522" t="s">
        <v>18</v>
      </c>
      <c r="C522">
        <v>0</v>
      </c>
      <c r="D522" t="s">
        <v>230</v>
      </c>
      <c r="E522">
        <v>7.0971289660699002E-2</v>
      </c>
      <c r="F522">
        <v>0.27921351933845701</v>
      </c>
      <c r="G522">
        <v>0.25418285557537401</v>
      </c>
      <c r="H522">
        <v>-0.485630688459955</v>
      </c>
      <c r="I522">
        <v>0.62757326778135303</v>
      </c>
      <c r="J522">
        <v>0.80007881430956895</v>
      </c>
    </row>
    <row r="523" spans="1:11" hidden="1" x14ac:dyDescent="0.2">
      <c r="A523" s="70" t="s">
        <v>228</v>
      </c>
      <c r="B523" t="s">
        <v>18</v>
      </c>
      <c r="C523">
        <v>1</v>
      </c>
      <c r="D523" t="s">
        <v>230</v>
      </c>
      <c r="E523">
        <v>-0.30142638590225601</v>
      </c>
      <c r="F523">
        <v>0.249732040955672</v>
      </c>
      <c r="G523">
        <v>-1.20699924907016</v>
      </c>
      <c r="H523">
        <v>-0.81075824142736697</v>
      </c>
      <c r="I523">
        <v>0.207905469622856</v>
      </c>
      <c r="J523">
        <v>0.236562106867551</v>
      </c>
    </row>
    <row r="524" spans="1:11" hidden="1" x14ac:dyDescent="0.2">
      <c r="A524" s="70" t="s">
        <v>228</v>
      </c>
      <c r="B524" t="s">
        <v>25</v>
      </c>
      <c r="C524">
        <v>0</v>
      </c>
      <c r="D524" t="s">
        <v>230</v>
      </c>
      <c r="E524">
        <v>5.5936152032395499E-2</v>
      </c>
      <c r="F524">
        <v>0.28366310510135601</v>
      </c>
      <c r="G524">
        <v>0.19719220098224999</v>
      </c>
      <c r="H524">
        <v>-0.50953591319333502</v>
      </c>
      <c r="I524">
        <v>0.62140821725812601</v>
      </c>
      <c r="J524">
        <v>0.84423274637878898</v>
      </c>
    </row>
    <row r="525" spans="1:11" hidden="1" x14ac:dyDescent="0.2">
      <c r="A525" s="70" t="s">
        <v>228</v>
      </c>
      <c r="B525" t="s">
        <v>25</v>
      </c>
      <c r="C525">
        <v>1</v>
      </c>
      <c r="D525" t="s">
        <v>230</v>
      </c>
      <c r="E525">
        <v>-0.483547346342105</v>
      </c>
      <c r="F525">
        <v>0.31329177248377998</v>
      </c>
      <c r="G525">
        <v>-1.54344093529344</v>
      </c>
      <c r="H525">
        <v>-1.1225101289681401</v>
      </c>
      <c r="I525">
        <v>0.15541543628392901</v>
      </c>
      <c r="J525">
        <v>0.13287182418104601</v>
      </c>
    </row>
    <row r="526" spans="1:11" hidden="1" x14ac:dyDescent="0.2">
      <c r="A526" s="70" t="s">
        <v>228</v>
      </c>
      <c r="B526" t="s">
        <v>14</v>
      </c>
      <c r="C526">
        <v>0</v>
      </c>
      <c r="D526" t="s">
        <v>230</v>
      </c>
      <c r="E526">
        <v>0.15992791260102299</v>
      </c>
      <c r="F526">
        <v>0.27304866354982599</v>
      </c>
      <c r="G526">
        <v>0.58571212369929604</v>
      </c>
      <c r="H526">
        <v>-0.38438465011127099</v>
      </c>
      <c r="I526">
        <v>0.70424047531331702</v>
      </c>
      <c r="J526">
        <v>0.55990048924078595</v>
      </c>
    </row>
    <row r="527" spans="1:11" hidden="1" x14ac:dyDescent="0.2">
      <c r="A527" s="70" t="s">
        <v>228</v>
      </c>
      <c r="B527" t="s">
        <v>14</v>
      </c>
      <c r="C527">
        <v>1</v>
      </c>
      <c r="D527" t="s">
        <v>230</v>
      </c>
      <c r="E527">
        <v>-0.23553839544736799</v>
      </c>
      <c r="F527">
        <v>0.26585818841262499</v>
      </c>
      <c r="G527">
        <v>-0.88595501554310296</v>
      </c>
      <c r="H527">
        <v>-0.777759745549507</v>
      </c>
      <c r="I527">
        <v>0.30668295465477002</v>
      </c>
      <c r="J527">
        <v>0.38246303272801402</v>
      </c>
    </row>
    <row r="528" spans="1:11" hidden="1" x14ac:dyDescent="0.2">
      <c r="A528" s="70" t="s">
        <v>228</v>
      </c>
      <c r="B528" t="s">
        <v>7</v>
      </c>
      <c r="C528">
        <v>0</v>
      </c>
      <c r="D528" t="s">
        <v>230</v>
      </c>
      <c r="E528">
        <v>-5.8138174712702398E-2</v>
      </c>
      <c r="F528">
        <v>0.22691712723944099</v>
      </c>
      <c r="G528">
        <v>-0.256208843378118</v>
      </c>
      <c r="H528">
        <v>-0.51048920051610502</v>
      </c>
      <c r="I528">
        <v>0.39421285109069998</v>
      </c>
      <c r="J528">
        <v>0.79852020498415799</v>
      </c>
    </row>
    <row r="529" spans="1:10" hidden="1" x14ac:dyDescent="0.2">
      <c r="A529" s="70" t="s">
        <v>228</v>
      </c>
      <c r="B529" t="s">
        <v>7</v>
      </c>
      <c r="C529">
        <v>1</v>
      </c>
      <c r="D529" t="s">
        <v>230</v>
      </c>
      <c r="E529">
        <v>-0.46499331023684198</v>
      </c>
      <c r="F529">
        <v>0.321292087057928</v>
      </c>
      <c r="G529">
        <v>-1.44726038694195</v>
      </c>
      <c r="H529">
        <v>-1.1202728420122501</v>
      </c>
      <c r="I529">
        <v>0.190286221538567</v>
      </c>
      <c r="J529">
        <v>0.15786172905441601</v>
      </c>
    </row>
    <row r="530" spans="1:10" hidden="1" x14ac:dyDescent="0.2">
      <c r="A530" s="70" t="s">
        <v>228</v>
      </c>
      <c r="B530" t="s">
        <v>21</v>
      </c>
      <c r="C530">
        <v>0</v>
      </c>
      <c r="D530" t="s">
        <v>230</v>
      </c>
      <c r="E530">
        <v>-0.31631107606734898</v>
      </c>
      <c r="F530">
        <v>0.30393439198984201</v>
      </c>
      <c r="G530">
        <v>-1.04072156492879</v>
      </c>
      <c r="H530">
        <v>-0.92219321315462599</v>
      </c>
      <c r="I530">
        <v>0.28957106101992902</v>
      </c>
      <c r="J530">
        <v>0.30148694701474998</v>
      </c>
    </row>
    <row r="531" spans="1:10" hidden="1" x14ac:dyDescent="0.2">
      <c r="A531" s="70" t="s">
        <v>228</v>
      </c>
      <c r="B531" t="s">
        <v>21</v>
      </c>
      <c r="C531">
        <v>1</v>
      </c>
      <c r="D531" t="s">
        <v>230</v>
      </c>
      <c r="E531">
        <v>4.06180213421053E-2</v>
      </c>
      <c r="F531">
        <v>0.35218440619549701</v>
      </c>
      <c r="G531">
        <v>0.115331685979186</v>
      </c>
      <c r="H531">
        <v>-0.67766681070474499</v>
      </c>
      <c r="I531">
        <v>0.75890285338895602</v>
      </c>
      <c r="J531">
        <v>0.908926059821627</v>
      </c>
    </row>
    <row r="532" spans="1:10" hidden="1" x14ac:dyDescent="0.2">
      <c r="A532" s="70" t="s">
        <v>228</v>
      </c>
      <c r="B532" t="s">
        <v>11</v>
      </c>
      <c r="C532">
        <v>0</v>
      </c>
      <c r="D532" t="s">
        <v>230</v>
      </c>
      <c r="E532">
        <v>-5.9873173832054601E-2</v>
      </c>
      <c r="F532">
        <v>0.282722524151577</v>
      </c>
      <c r="G532">
        <v>-0.211773625082502</v>
      </c>
      <c r="H532">
        <v>-0.62347022520290496</v>
      </c>
      <c r="I532">
        <v>0.50372387753879599</v>
      </c>
      <c r="J532">
        <v>0.832881977330311</v>
      </c>
    </row>
    <row r="533" spans="1:10" hidden="1" x14ac:dyDescent="0.2">
      <c r="A533" s="70" t="s">
        <v>228</v>
      </c>
      <c r="B533" t="s">
        <v>11</v>
      </c>
      <c r="C533">
        <v>1</v>
      </c>
      <c r="D533" t="s">
        <v>230</v>
      </c>
      <c r="E533">
        <v>-0.48291019639097699</v>
      </c>
      <c r="F533">
        <v>0.26857622017562999</v>
      </c>
      <c r="G533">
        <v>-1.79803780124387</v>
      </c>
      <c r="H533">
        <v>-1.0306750088215</v>
      </c>
      <c r="I533">
        <v>6.4854616039541305E-2</v>
      </c>
      <c r="J533">
        <v>8.1917037193796796E-2</v>
      </c>
    </row>
    <row r="534" spans="1:10" hidden="1" x14ac:dyDescent="0.2">
      <c r="A534" s="70" t="s">
        <v>228</v>
      </c>
      <c r="B534" t="s">
        <v>13</v>
      </c>
      <c r="C534">
        <v>0</v>
      </c>
      <c r="D534" t="s">
        <v>230</v>
      </c>
      <c r="E534">
        <v>-0.22367022250213101</v>
      </c>
      <c r="F534">
        <v>0.27197732589815998</v>
      </c>
      <c r="G534">
        <v>-0.822385549102292</v>
      </c>
      <c r="H534">
        <v>-0.76584711263823602</v>
      </c>
      <c r="I534">
        <v>0.31850666763397301</v>
      </c>
      <c r="J534">
        <v>0.41357277075898002</v>
      </c>
    </row>
    <row r="535" spans="1:10" hidden="1" x14ac:dyDescent="0.2">
      <c r="A535" s="70" t="s">
        <v>228</v>
      </c>
      <c r="B535" t="s">
        <v>13</v>
      </c>
      <c r="C535">
        <v>1</v>
      </c>
      <c r="D535" t="s">
        <v>230</v>
      </c>
      <c r="E535">
        <v>-0.57777435792481202</v>
      </c>
      <c r="F535">
        <v>0.29442570714155802</v>
      </c>
      <c r="G535">
        <v>-1.9623774144389601</v>
      </c>
      <c r="H535">
        <v>-1.17825954660479</v>
      </c>
      <c r="I535">
        <v>2.2710830755166E-2</v>
      </c>
      <c r="J535">
        <v>5.8748372715578798E-2</v>
      </c>
    </row>
    <row r="536" spans="1:10" hidden="1" x14ac:dyDescent="0.2">
      <c r="A536" s="70" t="s">
        <v>228</v>
      </c>
      <c r="B536" t="s">
        <v>17</v>
      </c>
      <c r="C536">
        <v>0</v>
      </c>
      <c r="D536" t="s">
        <v>230</v>
      </c>
      <c r="E536">
        <v>-0.38649468720119401</v>
      </c>
      <c r="F536">
        <v>0.33177409455370099</v>
      </c>
      <c r="G536">
        <v>-1.1649332890836499</v>
      </c>
      <c r="H536">
        <v>-1.0478742570562301</v>
      </c>
      <c r="I536">
        <v>0.27488488265383998</v>
      </c>
      <c r="J536">
        <v>0.24789114889032099</v>
      </c>
    </row>
    <row r="537" spans="1:10" hidden="1" x14ac:dyDescent="0.2">
      <c r="A537" s="70" t="s">
        <v>228</v>
      </c>
      <c r="B537" t="s">
        <v>17</v>
      </c>
      <c r="C537">
        <v>1</v>
      </c>
      <c r="D537" t="s">
        <v>230</v>
      </c>
      <c r="E537">
        <v>2.27515297406015E-2</v>
      </c>
      <c r="F537">
        <v>0.24566983669203199</v>
      </c>
      <c r="G537">
        <v>9.2610187912985198E-2</v>
      </c>
      <c r="H537">
        <v>-0.478295405566808</v>
      </c>
      <c r="I537">
        <v>0.52379846504801097</v>
      </c>
      <c r="J537">
        <v>0.92680917108102401</v>
      </c>
    </row>
    <row r="538" spans="1:10" hidden="1" x14ac:dyDescent="0.2">
      <c r="A538" s="70" t="s">
        <v>228</v>
      </c>
      <c r="B538" t="s">
        <v>26</v>
      </c>
      <c r="C538">
        <v>0</v>
      </c>
      <c r="D538" t="s">
        <v>230</v>
      </c>
      <c r="E538">
        <v>-0.365830441056266</v>
      </c>
      <c r="F538">
        <v>0.32985309831103699</v>
      </c>
      <c r="G538">
        <v>-1.10907080433516</v>
      </c>
      <c r="H538">
        <v>-1.0233805748898499</v>
      </c>
      <c r="I538">
        <v>0.29171969277732201</v>
      </c>
      <c r="J538">
        <v>0.27109042458252702</v>
      </c>
    </row>
    <row r="539" spans="1:10" hidden="1" x14ac:dyDescent="0.2">
      <c r="A539" s="70" t="s">
        <v>228</v>
      </c>
      <c r="B539" t="s">
        <v>26</v>
      </c>
      <c r="C539">
        <v>1</v>
      </c>
      <c r="D539" t="s">
        <v>230</v>
      </c>
      <c r="E539">
        <v>0.19686094200000001</v>
      </c>
      <c r="F539">
        <v>0.30744718974109703</v>
      </c>
      <c r="G539">
        <v>0.64030815232293303</v>
      </c>
      <c r="H539">
        <v>-0.43018173553375499</v>
      </c>
      <c r="I539">
        <v>0.82390361953375502</v>
      </c>
      <c r="J539">
        <v>0.526677155864959</v>
      </c>
    </row>
    <row r="540" spans="1:10" hidden="1" x14ac:dyDescent="0.2">
      <c r="A540" s="70" t="s">
        <v>228</v>
      </c>
      <c r="B540" t="s">
        <v>9</v>
      </c>
      <c r="C540">
        <v>0</v>
      </c>
      <c r="D540" t="s">
        <v>230</v>
      </c>
      <c r="E540">
        <v>-4.9046374492753703E-2</v>
      </c>
      <c r="F540">
        <v>0.241004254150428</v>
      </c>
      <c r="G540">
        <v>-0.203508335011133</v>
      </c>
      <c r="H540">
        <v>-0.529479574552151</v>
      </c>
      <c r="I540">
        <v>0.43138682556664298</v>
      </c>
      <c r="J540">
        <v>0.83931180896760305</v>
      </c>
    </row>
    <row r="541" spans="1:10" hidden="1" x14ac:dyDescent="0.2">
      <c r="A541" s="70" t="s">
        <v>228</v>
      </c>
      <c r="B541" t="s">
        <v>9</v>
      </c>
      <c r="C541">
        <v>1</v>
      </c>
      <c r="D541" t="s">
        <v>230</v>
      </c>
      <c r="E541">
        <v>-6.0575108736842201E-2</v>
      </c>
      <c r="F541">
        <v>0.21972948841036499</v>
      </c>
      <c r="G541">
        <v>-0.27568037942960399</v>
      </c>
      <c r="H541">
        <v>-0.508716354919586</v>
      </c>
      <c r="I541">
        <v>0.38756613744590102</v>
      </c>
      <c r="J541">
        <v>0.78462296550435395</v>
      </c>
    </row>
    <row r="542" spans="1:10" hidden="1" x14ac:dyDescent="0.2">
      <c r="A542" s="56" t="s">
        <v>208</v>
      </c>
      <c r="B542" t="s">
        <v>18</v>
      </c>
      <c r="C542">
        <v>0</v>
      </c>
      <c r="D542" t="s">
        <v>218</v>
      </c>
      <c r="E542">
        <v>0.251863083710956</v>
      </c>
      <c r="F542">
        <v>0.36593190433555201</v>
      </c>
      <c r="G542">
        <v>0.68827855873425603</v>
      </c>
      <c r="H542">
        <v>-0.478342662409596</v>
      </c>
      <c r="I542">
        <v>0.98206882983150801</v>
      </c>
      <c r="J542">
        <v>0.49361879126793601</v>
      </c>
    </row>
    <row r="543" spans="1:10" hidden="1" x14ac:dyDescent="0.2">
      <c r="A543" s="56" t="s">
        <v>208</v>
      </c>
      <c r="B543" t="s">
        <v>18</v>
      </c>
      <c r="C543">
        <v>0</v>
      </c>
      <c r="D543" t="s">
        <v>220</v>
      </c>
      <c r="E543">
        <v>-7.5005186212121294E-2</v>
      </c>
      <c r="F543">
        <v>0.42023906987430298</v>
      </c>
      <c r="G543">
        <v>-0.17848218214112199</v>
      </c>
      <c r="H543">
        <v>-0.91357919391926901</v>
      </c>
      <c r="I543">
        <v>0.76356882149502603</v>
      </c>
      <c r="J543">
        <v>0.85887499717409399</v>
      </c>
    </row>
    <row r="544" spans="1:10" hidden="1" x14ac:dyDescent="0.2">
      <c r="A544" s="56" t="s">
        <v>208</v>
      </c>
      <c r="B544" t="s">
        <v>18</v>
      </c>
      <c r="C544">
        <v>0</v>
      </c>
      <c r="D544" t="s">
        <v>221</v>
      </c>
      <c r="E544">
        <v>-0.54040244821212202</v>
      </c>
      <c r="F544">
        <v>0.44039255752888101</v>
      </c>
      <c r="G544">
        <v>-1.2270925994853601</v>
      </c>
      <c r="H544">
        <v>-1.4191921143939299</v>
      </c>
      <c r="I544">
        <v>0.33838721796969101</v>
      </c>
      <c r="J544">
        <v>0.22401928996359999</v>
      </c>
    </row>
    <row r="545" spans="1:10" hidden="1" x14ac:dyDescent="0.2">
      <c r="A545" s="56" t="s">
        <v>208</v>
      </c>
      <c r="B545" t="s">
        <v>18</v>
      </c>
      <c r="C545">
        <v>0</v>
      </c>
      <c r="D545" t="s">
        <v>222</v>
      </c>
      <c r="E545">
        <v>0.26136806398787799</v>
      </c>
      <c r="F545">
        <v>0.53629016461993595</v>
      </c>
      <c r="G545">
        <v>0.48736315008332798</v>
      </c>
      <c r="H545">
        <v>-0.80878229774260002</v>
      </c>
      <c r="I545">
        <v>1.3315184257183601</v>
      </c>
      <c r="J545">
        <v>0.62756851087990295</v>
      </c>
    </row>
    <row r="546" spans="1:10" hidden="1" x14ac:dyDescent="0.2">
      <c r="A546" s="56" t="s">
        <v>208</v>
      </c>
      <c r="B546" t="s">
        <v>18</v>
      </c>
      <c r="C546">
        <v>0</v>
      </c>
      <c r="D546" t="s">
        <v>223</v>
      </c>
      <c r="E546">
        <v>0.31966329928787801</v>
      </c>
      <c r="F546">
        <v>0.49596349801256201</v>
      </c>
      <c r="G546">
        <v>0.64452989094730095</v>
      </c>
      <c r="H546">
        <v>-0.67001645211945604</v>
      </c>
      <c r="I546">
        <v>1.30934305069521</v>
      </c>
      <c r="J546">
        <v>0.521400281048227</v>
      </c>
    </row>
    <row r="547" spans="1:10" hidden="1" x14ac:dyDescent="0.2">
      <c r="A547" s="56" t="s">
        <v>208</v>
      </c>
      <c r="B547" t="s">
        <v>18</v>
      </c>
      <c r="C547">
        <v>1</v>
      </c>
      <c r="D547" t="s">
        <v>218</v>
      </c>
      <c r="E547">
        <v>1.2117244883333499E-2</v>
      </c>
      <c r="F547">
        <v>0.42979713533694403</v>
      </c>
      <c r="G547">
        <v>2.8192940080519702E-2</v>
      </c>
      <c r="H547">
        <v>-0.87134341944613003</v>
      </c>
      <c r="I547">
        <v>0.89557790921279701</v>
      </c>
      <c r="J547">
        <v>0.97772355896709495</v>
      </c>
    </row>
    <row r="548" spans="1:10" hidden="1" x14ac:dyDescent="0.2">
      <c r="A548" s="56" t="s">
        <v>208</v>
      </c>
      <c r="B548" t="s">
        <v>18</v>
      </c>
      <c r="C548">
        <v>1</v>
      </c>
      <c r="D548" t="s">
        <v>220</v>
      </c>
      <c r="E548">
        <v>-6.8106181466666499E-2</v>
      </c>
      <c r="F548">
        <v>0.39440890087516101</v>
      </c>
      <c r="G548">
        <v>-0.17267911884225801</v>
      </c>
      <c r="H548">
        <v>-0.87882528807833904</v>
      </c>
      <c r="I548">
        <v>0.74261292514500599</v>
      </c>
      <c r="J548">
        <v>0.86424086041042902</v>
      </c>
    </row>
    <row r="549" spans="1:10" hidden="1" x14ac:dyDescent="0.2">
      <c r="A549" s="56" t="s">
        <v>208</v>
      </c>
      <c r="B549" t="s">
        <v>18</v>
      </c>
      <c r="C549">
        <v>1</v>
      </c>
      <c r="D549" t="s">
        <v>221</v>
      </c>
      <c r="E549">
        <v>-0.13813925586666601</v>
      </c>
      <c r="F549">
        <v>0.39440890087516101</v>
      </c>
      <c r="G549">
        <v>-0.350243758597097</v>
      </c>
      <c r="H549">
        <v>-0.94885836247833899</v>
      </c>
      <c r="I549">
        <v>0.67257985074500604</v>
      </c>
      <c r="J549">
        <v>0.72897735748912595</v>
      </c>
    </row>
    <row r="550" spans="1:10" hidden="1" x14ac:dyDescent="0.2">
      <c r="A550" s="56" t="s">
        <v>208</v>
      </c>
      <c r="B550" t="s">
        <v>18</v>
      </c>
      <c r="C550">
        <v>1</v>
      </c>
      <c r="D550" t="s">
        <v>222</v>
      </c>
      <c r="E550">
        <v>-0.50885979036666595</v>
      </c>
      <c r="F550">
        <v>0.57494483197546797</v>
      </c>
      <c r="G550">
        <v>-0.88505846485872497</v>
      </c>
      <c r="H550">
        <v>-1.6906758180878201</v>
      </c>
      <c r="I550">
        <v>0.67295623735448895</v>
      </c>
      <c r="J550">
        <v>0.38423737072280401</v>
      </c>
    </row>
    <row r="551" spans="1:10" hidden="1" x14ac:dyDescent="0.2">
      <c r="A551" s="56" t="s">
        <v>208</v>
      </c>
      <c r="B551" t="s">
        <v>18</v>
      </c>
      <c r="C551">
        <v>1</v>
      </c>
      <c r="D551" t="s">
        <v>209</v>
      </c>
      <c r="E551">
        <v>-0.66316421086666599</v>
      </c>
      <c r="F551">
        <v>0.78881780175032201</v>
      </c>
      <c r="G551">
        <v>-0.84070644627334601</v>
      </c>
      <c r="H551">
        <v>-2.2846024240900098</v>
      </c>
      <c r="I551">
        <v>0.95827400235667803</v>
      </c>
      <c r="J551">
        <v>0.40817779412432798</v>
      </c>
    </row>
    <row r="552" spans="1:10" hidden="1" x14ac:dyDescent="0.2">
      <c r="A552" s="56" t="s">
        <v>208</v>
      </c>
      <c r="B552" t="s">
        <v>25</v>
      </c>
      <c r="C552">
        <v>0</v>
      </c>
      <c r="D552" t="s">
        <v>218</v>
      </c>
      <c r="E552">
        <v>0.202401816487179</v>
      </c>
      <c r="F552">
        <v>0.37915935669811002</v>
      </c>
      <c r="G552">
        <v>0.53381728002121698</v>
      </c>
      <c r="H552">
        <v>-0.55419889986482496</v>
      </c>
      <c r="I552">
        <v>0.95900253283918402</v>
      </c>
      <c r="J552">
        <v>0.59520873297236099</v>
      </c>
    </row>
    <row r="553" spans="1:10" hidden="1" x14ac:dyDescent="0.2">
      <c r="A553" s="56" t="s">
        <v>208</v>
      </c>
      <c r="B553" t="s">
        <v>25</v>
      </c>
      <c r="C553">
        <v>0</v>
      </c>
      <c r="D553" t="s">
        <v>220</v>
      </c>
      <c r="E553">
        <v>9.0859874111110794E-2</v>
      </c>
      <c r="F553">
        <v>0.43542957994404302</v>
      </c>
      <c r="G553">
        <v>0.208667206584328</v>
      </c>
      <c r="H553">
        <v>-0.77802632449277398</v>
      </c>
      <c r="I553">
        <v>0.95974607271499501</v>
      </c>
      <c r="J553">
        <v>0.83533183633719299</v>
      </c>
    </row>
    <row r="554" spans="1:10" hidden="1" x14ac:dyDescent="0.2">
      <c r="A554" s="56" t="s">
        <v>208</v>
      </c>
      <c r="B554" t="s">
        <v>25</v>
      </c>
      <c r="C554">
        <v>0</v>
      </c>
      <c r="D554" t="s">
        <v>221</v>
      </c>
      <c r="E554">
        <v>0.238285336833333</v>
      </c>
      <c r="F554">
        <v>0.45631156187510202</v>
      </c>
      <c r="G554">
        <v>0.52219877106369395</v>
      </c>
      <c r="H554">
        <v>-0.67227020794065995</v>
      </c>
      <c r="I554">
        <v>1.1488408816073199</v>
      </c>
      <c r="J554">
        <v>0.60322899171809197</v>
      </c>
    </row>
    <row r="555" spans="1:10" hidden="1" x14ac:dyDescent="0.2">
      <c r="A555" s="56" t="s">
        <v>208</v>
      </c>
      <c r="B555" t="s">
        <v>25</v>
      </c>
      <c r="C555">
        <v>0</v>
      </c>
      <c r="D555" t="s">
        <v>222</v>
      </c>
      <c r="E555">
        <v>0.13081612813333299</v>
      </c>
      <c r="F555">
        <v>0.55567560907277502</v>
      </c>
      <c r="G555">
        <v>0.235418157639884</v>
      </c>
      <c r="H555">
        <v>-0.978017285724745</v>
      </c>
      <c r="I555">
        <v>1.23964954199141</v>
      </c>
      <c r="J555">
        <v>0.81459174258959899</v>
      </c>
    </row>
    <row r="556" spans="1:10" hidden="1" x14ac:dyDescent="0.2">
      <c r="A556" s="56" t="s">
        <v>208</v>
      </c>
      <c r="B556" t="s">
        <v>25</v>
      </c>
      <c r="C556">
        <v>0</v>
      </c>
      <c r="D556" t="s">
        <v>223</v>
      </c>
      <c r="E556">
        <v>0.22183160766666599</v>
      </c>
      <c r="F556">
        <v>0.51389124212506498</v>
      </c>
      <c r="G556">
        <v>0.43167034088640799</v>
      </c>
      <c r="H556">
        <v>-0.80362240012779196</v>
      </c>
      <c r="I556">
        <v>1.24728561546112</v>
      </c>
      <c r="J556">
        <v>0.66734662675237399</v>
      </c>
    </row>
    <row r="557" spans="1:10" hidden="1" x14ac:dyDescent="0.2">
      <c r="A557" s="56" t="s">
        <v>208</v>
      </c>
      <c r="B557" t="s">
        <v>25</v>
      </c>
      <c r="C557">
        <v>1</v>
      </c>
      <c r="D557" t="s">
        <v>218</v>
      </c>
      <c r="E557">
        <v>0.44782950311666703</v>
      </c>
      <c r="F557">
        <v>0.54701495773361497</v>
      </c>
      <c r="G557">
        <v>0.81867871579254003</v>
      </c>
      <c r="H557">
        <v>-0.67657584588276598</v>
      </c>
      <c r="I557">
        <v>1.5722348521161</v>
      </c>
      <c r="J557">
        <v>0.42041045327426202</v>
      </c>
    </row>
    <row r="558" spans="1:10" hidden="1" x14ac:dyDescent="0.2">
      <c r="A558" s="56" t="s">
        <v>208</v>
      </c>
      <c r="B558" t="s">
        <v>25</v>
      </c>
      <c r="C558">
        <v>1</v>
      </c>
      <c r="D558" t="s">
        <v>220</v>
      </c>
      <c r="E558">
        <v>-0.137047331733334</v>
      </c>
      <c r="F558">
        <v>0.50197535186652698</v>
      </c>
      <c r="G558">
        <v>-0.27301605790750799</v>
      </c>
      <c r="H558">
        <v>-1.1688724449680901</v>
      </c>
      <c r="I558">
        <v>0.89477778150142695</v>
      </c>
      <c r="J558">
        <v>0.78699773470273304</v>
      </c>
    </row>
    <row r="559" spans="1:10" hidden="1" x14ac:dyDescent="0.2">
      <c r="A559" s="56" t="s">
        <v>208</v>
      </c>
      <c r="B559" t="s">
        <v>25</v>
      </c>
      <c r="C559">
        <v>1</v>
      </c>
      <c r="D559" t="s">
        <v>221</v>
      </c>
      <c r="E559">
        <v>0.291213227466667</v>
      </c>
      <c r="F559">
        <v>0.50197535186652698</v>
      </c>
      <c r="G559">
        <v>0.58013451533791505</v>
      </c>
      <c r="H559">
        <v>-0.740611885768094</v>
      </c>
      <c r="I559">
        <v>1.3230383407014299</v>
      </c>
      <c r="J559">
        <v>0.566818103738573</v>
      </c>
    </row>
    <row r="560" spans="1:10" hidden="1" x14ac:dyDescent="0.2">
      <c r="A560" s="56" t="s">
        <v>208</v>
      </c>
      <c r="B560" t="s">
        <v>25</v>
      </c>
      <c r="C560">
        <v>1</v>
      </c>
      <c r="D560" t="s">
        <v>222</v>
      </c>
      <c r="E560">
        <v>-0.39090972913333299</v>
      </c>
      <c r="F560">
        <v>0.73174853228294001</v>
      </c>
      <c r="G560">
        <v>-0.53421320561280194</v>
      </c>
      <c r="H560">
        <v>-1.89504037892463</v>
      </c>
      <c r="I560">
        <v>1.11322092065797</v>
      </c>
      <c r="J560">
        <v>0.59773271443410503</v>
      </c>
    </row>
    <row r="561" spans="1:10" hidden="1" x14ac:dyDescent="0.2">
      <c r="A561" s="56" t="s">
        <v>208</v>
      </c>
      <c r="B561" t="s">
        <v>25</v>
      </c>
      <c r="C561">
        <v>1</v>
      </c>
      <c r="D561" t="s">
        <v>209</v>
      </c>
      <c r="E561">
        <v>-0.387137034133334</v>
      </c>
      <c r="F561">
        <v>1.00395070373305</v>
      </c>
      <c r="G561">
        <v>-0.38561358908741</v>
      </c>
      <c r="H561">
        <v>-2.45078726060285</v>
      </c>
      <c r="I561">
        <v>1.67651319233619</v>
      </c>
      <c r="J561">
        <v>0.70291994237258204</v>
      </c>
    </row>
    <row r="562" spans="1:10" hidden="1" x14ac:dyDescent="0.2">
      <c r="A562" s="56" t="s">
        <v>208</v>
      </c>
      <c r="B562" t="s">
        <v>14</v>
      </c>
      <c r="C562">
        <v>0</v>
      </c>
      <c r="D562" t="s">
        <v>218</v>
      </c>
      <c r="E562">
        <v>-0.19736281454545501</v>
      </c>
      <c r="F562">
        <v>0.36243123101524299</v>
      </c>
      <c r="G562">
        <v>-0.54455244928148705</v>
      </c>
      <c r="H562">
        <v>-0.92058307581624399</v>
      </c>
      <c r="I562">
        <v>0.52585744672533397</v>
      </c>
      <c r="J562">
        <v>0.58784276318323103</v>
      </c>
    </row>
    <row r="563" spans="1:10" hidden="1" x14ac:dyDescent="0.2">
      <c r="A563" s="56" t="s">
        <v>208</v>
      </c>
      <c r="B563" t="s">
        <v>14</v>
      </c>
      <c r="C563">
        <v>0</v>
      </c>
      <c r="D563" t="s">
        <v>220</v>
      </c>
      <c r="E563">
        <v>-0.29773991298989899</v>
      </c>
      <c r="F563">
        <v>0.41621886916856898</v>
      </c>
      <c r="G563">
        <v>-0.71534458200960105</v>
      </c>
      <c r="H563">
        <v>-1.1282917350906401</v>
      </c>
      <c r="I563">
        <v>0.53281190911084297</v>
      </c>
      <c r="J563">
        <v>0.47684519907575701</v>
      </c>
    </row>
    <row r="564" spans="1:10" hidden="1" x14ac:dyDescent="0.2">
      <c r="A564" s="56" t="s">
        <v>208</v>
      </c>
      <c r="B564" t="s">
        <v>14</v>
      </c>
      <c r="C564">
        <v>0</v>
      </c>
      <c r="D564" t="s">
        <v>221</v>
      </c>
      <c r="E564">
        <v>-0.116604356170455</v>
      </c>
      <c r="F564">
        <v>0.43617955926789698</v>
      </c>
      <c r="G564">
        <v>-0.26733108806421102</v>
      </c>
      <c r="H564">
        <v>-0.98698711521430704</v>
      </c>
      <c r="I564">
        <v>0.75377840287339604</v>
      </c>
      <c r="J564">
        <v>0.79002339192759996</v>
      </c>
    </row>
    <row r="565" spans="1:10" hidden="1" x14ac:dyDescent="0.2">
      <c r="A565" s="56" t="s">
        <v>208</v>
      </c>
      <c r="B565" t="s">
        <v>14</v>
      </c>
      <c r="C565">
        <v>0</v>
      </c>
      <c r="D565" t="s">
        <v>222</v>
      </c>
      <c r="E565">
        <v>0.442958891054545</v>
      </c>
      <c r="F565">
        <v>0.53115976563316702</v>
      </c>
      <c r="G565">
        <v>0.83394661967010397</v>
      </c>
      <c r="H565">
        <v>-0.61695391889199802</v>
      </c>
      <c r="I565">
        <v>1.5028717010010899</v>
      </c>
      <c r="J565">
        <v>0.40723105428216999</v>
      </c>
    </row>
    <row r="566" spans="1:10" hidden="1" x14ac:dyDescent="0.2">
      <c r="A566" s="56" t="s">
        <v>208</v>
      </c>
      <c r="B566" t="s">
        <v>14</v>
      </c>
      <c r="C566">
        <v>0</v>
      </c>
      <c r="D566" t="s">
        <v>223</v>
      </c>
      <c r="E566">
        <v>1.5057070454544999E-2</v>
      </c>
      <c r="F566">
        <v>0.49121888251232998</v>
      </c>
      <c r="G566">
        <v>3.0652466732418501E-2</v>
      </c>
      <c r="H566">
        <v>-0.96515494813049496</v>
      </c>
      <c r="I566">
        <v>0.995269089039585</v>
      </c>
      <c r="J566">
        <v>0.97563648902091804</v>
      </c>
    </row>
    <row r="567" spans="1:10" hidden="1" x14ac:dyDescent="0.2">
      <c r="A567" s="56" t="s">
        <v>208</v>
      </c>
      <c r="B567" t="s">
        <v>14</v>
      </c>
      <c r="C567">
        <v>1</v>
      </c>
      <c r="D567" t="s">
        <v>218</v>
      </c>
      <c r="E567">
        <v>0.22226536081666601</v>
      </c>
      <c r="F567">
        <v>0.45623272222783301</v>
      </c>
      <c r="G567">
        <v>0.48717540410367999</v>
      </c>
      <c r="H567">
        <v>-0.71553443059482102</v>
      </c>
      <c r="I567">
        <v>1.16006515222815</v>
      </c>
      <c r="J567">
        <v>0.63021628758972903</v>
      </c>
    </row>
    <row r="568" spans="1:10" hidden="1" x14ac:dyDescent="0.2">
      <c r="A568" s="56" t="s">
        <v>208</v>
      </c>
      <c r="B568" t="s">
        <v>14</v>
      </c>
      <c r="C568">
        <v>1</v>
      </c>
      <c r="D568" t="s">
        <v>220</v>
      </c>
      <c r="E568">
        <v>1.2305869866666701E-2</v>
      </c>
      <c r="F568">
        <v>0.41866785914264998</v>
      </c>
      <c r="G568">
        <v>2.9392917554900599E-2</v>
      </c>
      <c r="H568">
        <v>-0.848278239614638</v>
      </c>
      <c r="I568">
        <v>0.87288997934797197</v>
      </c>
      <c r="J568">
        <v>0.976775683453592</v>
      </c>
    </row>
    <row r="569" spans="1:10" hidden="1" x14ac:dyDescent="0.2">
      <c r="A569" s="56" t="s">
        <v>208</v>
      </c>
      <c r="B569" t="s">
        <v>14</v>
      </c>
      <c r="C569">
        <v>1</v>
      </c>
      <c r="D569" t="s">
        <v>221</v>
      </c>
      <c r="E569">
        <v>-0.26060854713333298</v>
      </c>
      <c r="F569">
        <v>0.41866785914264998</v>
      </c>
      <c r="G569">
        <v>-0.62247087146123103</v>
      </c>
      <c r="H569">
        <v>-1.12119265661464</v>
      </c>
      <c r="I569">
        <v>0.599975562347972</v>
      </c>
      <c r="J569">
        <v>0.53905373474771301</v>
      </c>
    </row>
    <row r="570" spans="1:10" hidden="1" x14ac:dyDescent="0.2">
      <c r="A570" s="56" t="s">
        <v>208</v>
      </c>
      <c r="B570" t="s">
        <v>14</v>
      </c>
      <c r="C570">
        <v>1</v>
      </c>
      <c r="D570" t="s">
        <v>222</v>
      </c>
      <c r="E570">
        <v>-0.29520389593333402</v>
      </c>
      <c r="F570">
        <v>0.61030803664466504</v>
      </c>
      <c r="G570">
        <v>-0.48369655683431201</v>
      </c>
      <c r="H570">
        <v>-1.54971003189678</v>
      </c>
      <c r="I570">
        <v>0.959302240030109</v>
      </c>
      <c r="J570">
        <v>0.63265017966076598</v>
      </c>
    </row>
    <row r="571" spans="1:10" hidden="1" x14ac:dyDescent="0.2">
      <c r="A571" s="56" t="s">
        <v>208</v>
      </c>
      <c r="B571" t="s">
        <v>14</v>
      </c>
      <c r="C571">
        <v>1</v>
      </c>
      <c r="D571" t="s">
        <v>209</v>
      </c>
      <c r="E571">
        <v>-0.28469815393333398</v>
      </c>
      <c r="F571">
        <v>0.83733571828529996</v>
      </c>
      <c r="G571">
        <v>-0.34000478866032302</v>
      </c>
      <c r="H571">
        <v>-2.0058663728959401</v>
      </c>
      <c r="I571">
        <v>1.4364700650292801</v>
      </c>
      <c r="J571">
        <v>0.73658450290780297</v>
      </c>
    </row>
    <row r="572" spans="1:10" hidden="1" x14ac:dyDescent="0.2">
      <c r="A572" s="56" t="s">
        <v>208</v>
      </c>
      <c r="B572" t="s">
        <v>7</v>
      </c>
      <c r="C572">
        <v>0</v>
      </c>
      <c r="D572" t="s">
        <v>218</v>
      </c>
      <c r="E572">
        <v>-0.23268249093007001</v>
      </c>
      <c r="F572">
        <v>0.30083545870674899</v>
      </c>
      <c r="G572">
        <v>-0.77345433922696805</v>
      </c>
      <c r="H572">
        <v>-0.83299030225183301</v>
      </c>
      <c r="I572">
        <v>0.36762532039169299</v>
      </c>
      <c r="J572">
        <v>0.44193408961831498</v>
      </c>
    </row>
    <row r="573" spans="1:10" hidden="1" x14ac:dyDescent="0.2">
      <c r="A573" s="56" t="s">
        <v>208</v>
      </c>
      <c r="B573" t="s">
        <v>7</v>
      </c>
      <c r="C573">
        <v>0</v>
      </c>
      <c r="D573" t="s">
        <v>220</v>
      </c>
      <c r="E573">
        <v>-2.2766553434343698E-2</v>
      </c>
      <c r="F573">
        <v>0.34548180099706899</v>
      </c>
      <c r="G573">
        <v>-6.5897981800022196E-2</v>
      </c>
      <c r="H573">
        <v>-0.71216475369842203</v>
      </c>
      <c r="I573">
        <v>0.66663164682973397</v>
      </c>
      <c r="J573">
        <v>0.94765240716929999</v>
      </c>
    </row>
    <row r="574" spans="1:10" hidden="1" x14ac:dyDescent="0.2">
      <c r="A574" s="56" t="s">
        <v>208</v>
      </c>
      <c r="B574" t="s">
        <v>7</v>
      </c>
      <c r="C574">
        <v>0</v>
      </c>
      <c r="D574" t="s">
        <v>221</v>
      </c>
      <c r="E574">
        <v>-0.40551650217045498</v>
      </c>
      <c r="F574">
        <v>0.36205013961764998</v>
      </c>
      <c r="G574">
        <v>-1.12005619608021</v>
      </c>
      <c r="H574">
        <v>-1.1279763073973099</v>
      </c>
      <c r="I574">
        <v>0.316943303056403</v>
      </c>
      <c r="J574">
        <v>0.26663028353148099</v>
      </c>
    </row>
    <row r="575" spans="1:10" hidden="1" x14ac:dyDescent="0.2">
      <c r="A575" s="56" t="s">
        <v>208</v>
      </c>
      <c r="B575" t="s">
        <v>7</v>
      </c>
      <c r="C575">
        <v>0</v>
      </c>
      <c r="D575" t="s">
        <v>222</v>
      </c>
      <c r="E575">
        <v>5.74103365454544E-3</v>
      </c>
      <c r="F575">
        <v>0.44088830670915002</v>
      </c>
      <c r="G575">
        <v>1.3021514898857899E-2</v>
      </c>
      <c r="H575">
        <v>-0.87403788461427501</v>
      </c>
      <c r="I575">
        <v>0.88551995192336597</v>
      </c>
      <c r="J575">
        <v>0.98964875693161602</v>
      </c>
    </row>
    <row r="576" spans="1:10" hidden="1" x14ac:dyDescent="0.2">
      <c r="A576" s="56" t="s">
        <v>208</v>
      </c>
      <c r="B576" t="s">
        <v>7</v>
      </c>
      <c r="C576">
        <v>0</v>
      </c>
      <c r="D576" t="s">
        <v>223</v>
      </c>
      <c r="E576">
        <v>-0.14378796671212099</v>
      </c>
      <c r="F576">
        <v>0.40773544109888898</v>
      </c>
      <c r="G576">
        <v>-0.35265015551407097</v>
      </c>
      <c r="H576">
        <v>-0.957411371667797</v>
      </c>
      <c r="I576">
        <v>0.66983543824355396</v>
      </c>
      <c r="J576">
        <v>0.72544147082829002</v>
      </c>
    </row>
    <row r="577" spans="1:10" hidden="1" x14ac:dyDescent="0.2">
      <c r="A577" s="56" t="s">
        <v>208</v>
      </c>
      <c r="B577" t="s">
        <v>7</v>
      </c>
      <c r="C577">
        <v>1</v>
      </c>
      <c r="D577" t="s">
        <v>218</v>
      </c>
      <c r="E577">
        <v>0.22690904665</v>
      </c>
      <c r="F577">
        <v>0.56025779403674303</v>
      </c>
      <c r="G577">
        <v>0.40500828201797101</v>
      </c>
      <c r="H577">
        <v>-0.92471734222164104</v>
      </c>
      <c r="I577">
        <v>1.3785354355216399</v>
      </c>
      <c r="J577">
        <v>0.68878451791879403</v>
      </c>
    </row>
    <row r="578" spans="1:10" hidden="1" x14ac:dyDescent="0.2">
      <c r="A578" s="56" t="s">
        <v>208</v>
      </c>
      <c r="B578" t="s">
        <v>7</v>
      </c>
      <c r="C578">
        <v>1</v>
      </c>
      <c r="D578" t="s">
        <v>220</v>
      </c>
      <c r="E578">
        <v>0.1697763652</v>
      </c>
      <c r="F578">
        <v>0.51412781190256596</v>
      </c>
      <c r="G578">
        <v>0.33022209899855498</v>
      </c>
      <c r="H578">
        <v>-0.887028487390771</v>
      </c>
      <c r="I578">
        <v>1.22658121779077</v>
      </c>
      <c r="J578">
        <v>0.74387828272570999</v>
      </c>
    </row>
    <row r="579" spans="1:10" hidden="1" x14ac:dyDescent="0.2">
      <c r="A579" s="56" t="s">
        <v>208</v>
      </c>
      <c r="B579" t="s">
        <v>7</v>
      </c>
      <c r="C579">
        <v>1</v>
      </c>
      <c r="D579" t="s">
        <v>221</v>
      </c>
      <c r="E579">
        <v>0.61059387779999996</v>
      </c>
      <c r="F579">
        <v>0.51412781190256596</v>
      </c>
      <c r="G579">
        <v>1.1876305145610699</v>
      </c>
      <c r="H579">
        <v>-0.44621097479076999</v>
      </c>
      <c r="I579">
        <v>1.66739873039077</v>
      </c>
      <c r="J579">
        <v>0.24571587914059401</v>
      </c>
    </row>
    <row r="580" spans="1:10" hidden="1" x14ac:dyDescent="0.2">
      <c r="A580" s="56" t="s">
        <v>208</v>
      </c>
      <c r="B580" t="s">
        <v>7</v>
      </c>
      <c r="C580">
        <v>1</v>
      </c>
      <c r="D580" t="s">
        <v>222</v>
      </c>
      <c r="E580">
        <v>-0.15292834660000099</v>
      </c>
      <c r="F580">
        <v>0.74946363475148403</v>
      </c>
      <c r="G580">
        <v>-0.20405038951717799</v>
      </c>
      <c r="H580">
        <v>-1.6934729110239699</v>
      </c>
      <c r="I580">
        <v>1.3876162178239599</v>
      </c>
      <c r="J580">
        <v>0.83990290947486601</v>
      </c>
    </row>
    <row r="581" spans="1:10" hidden="1" x14ac:dyDescent="0.2">
      <c r="A581" s="56" t="s">
        <v>208</v>
      </c>
      <c r="B581" t="s">
        <v>7</v>
      </c>
      <c r="C581">
        <v>1</v>
      </c>
      <c r="D581" t="s">
        <v>209</v>
      </c>
      <c r="E581">
        <v>-0.1730560176</v>
      </c>
      <c r="F581">
        <v>1.0282556238051299</v>
      </c>
      <c r="G581">
        <v>-0.16830057973288201</v>
      </c>
      <c r="H581">
        <v>-2.2866657227815401</v>
      </c>
      <c r="I581">
        <v>1.9405536875815399</v>
      </c>
      <c r="J581">
        <v>0.86764920262312295</v>
      </c>
    </row>
    <row r="582" spans="1:10" hidden="1" x14ac:dyDescent="0.2">
      <c r="A582" s="56" t="s">
        <v>208</v>
      </c>
      <c r="B582" t="s">
        <v>21</v>
      </c>
      <c r="C582">
        <v>0</v>
      </c>
      <c r="D582" t="s">
        <v>218</v>
      </c>
      <c r="E582">
        <v>0.34549842536596698</v>
      </c>
      <c r="F582">
        <v>0.39978075734630603</v>
      </c>
      <c r="G582">
        <v>0.864219747992229</v>
      </c>
      <c r="H582">
        <v>-0.45225165530208</v>
      </c>
      <c r="I582">
        <v>1.1432485060340101</v>
      </c>
      <c r="J582">
        <v>0.39050552591571303</v>
      </c>
    </row>
    <row r="583" spans="1:10" hidden="1" x14ac:dyDescent="0.2">
      <c r="A583" s="56" t="s">
        <v>208</v>
      </c>
      <c r="B583" t="s">
        <v>21</v>
      </c>
      <c r="C583">
        <v>0</v>
      </c>
      <c r="D583" t="s">
        <v>220</v>
      </c>
      <c r="E583">
        <v>0.59859922276767596</v>
      </c>
      <c r="F583">
        <v>0.459111358234565</v>
      </c>
      <c r="G583">
        <v>1.3038214194253199</v>
      </c>
      <c r="H583">
        <v>-0.31754322865595502</v>
      </c>
      <c r="I583">
        <v>1.51474167419131</v>
      </c>
      <c r="J583">
        <v>0.19669114354046699</v>
      </c>
    </row>
    <row r="584" spans="1:10" hidden="1" x14ac:dyDescent="0.2">
      <c r="A584" s="56" t="s">
        <v>208</v>
      </c>
      <c r="B584" t="s">
        <v>21</v>
      </c>
      <c r="C584">
        <v>0</v>
      </c>
      <c r="D584" t="s">
        <v>221</v>
      </c>
      <c r="E584">
        <v>-0.26553074216287997</v>
      </c>
      <c r="F584">
        <v>0.48112905186077698</v>
      </c>
      <c r="G584">
        <v>-0.55189089317290996</v>
      </c>
      <c r="H584">
        <v>-1.22560881715936</v>
      </c>
      <c r="I584">
        <v>0.69454733283359904</v>
      </c>
      <c r="J584">
        <v>0.58283239127167796</v>
      </c>
    </row>
    <row r="585" spans="1:10" hidden="1" x14ac:dyDescent="0.2">
      <c r="A585" s="56" t="s">
        <v>208</v>
      </c>
      <c r="B585" t="s">
        <v>21</v>
      </c>
      <c r="C585">
        <v>0</v>
      </c>
      <c r="D585" t="s">
        <v>222</v>
      </c>
      <c r="E585">
        <v>-0.25112780498787901</v>
      </c>
      <c r="F585">
        <v>0.58589722740473005</v>
      </c>
      <c r="G585">
        <v>-0.42862091377401701</v>
      </c>
      <c r="H585">
        <v>-1.4202675192848999</v>
      </c>
      <c r="I585">
        <v>0.918011909309147</v>
      </c>
      <c r="J585">
        <v>0.66955386065703204</v>
      </c>
    </row>
    <row r="586" spans="1:10" hidden="1" x14ac:dyDescent="0.2">
      <c r="A586" s="56" t="s">
        <v>208</v>
      </c>
      <c r="B586" t="s">
        <v>21</v>
      </c>
      <c r="C586">
        <v>0</v>
      </c>
      <c r="D586" t="s">
        <v>223</v>
      </c>
      <c r="E586">
        <v>-0.24057877562121299</v>
      </c>
      <c r="F586">
        <v>0.54184032740083099</v>
      </c>
      <c r="G586">
        <v>-0.44400308255985999</v>
      </c>
      <c r="H586">
        <v>-1.32180431474535</v>
      </c>
      <c r="I586">
        <v>0.84064676350292</v>
      </c>
      <c r="J586">
        <v>0.65845009415245004</v>
      </c>
    </row>
    <row r="587" spans="1:10" hidden="1" x14ac:dyDescent="0.2">
      <c r="A587" s="56" t="s">
        <v>208</v>
      </c>
      <c r="B587" t="s">
        <v>21</v>
      </c>
      <c r="C587">
        <v>1</v>
      </c>
      <c r="D587" t="s">
        <v>218</v>
      </c>
      <c r="E587">
        <v>1.1532760597</v>
      </c>
      <c r="F587">
        <v>0.54493149922776296</v>
      </c>
      <c r="G587">
        <v>2.1163688671591498</v>
      </c>
      <c r="H587">
        <v>3.31533209935366E-2</v>
      </c>
      <c r="I587">
        <v>2.2733987984064599</v>
      </c>
      <c r="J587">
        <v>4.4044646979674897E-2</v>
      </c>
    </row>
    <row r="588" spans="1:10" hidden="1" x14ac:dyDescent="0.2">
      <c r="A588" s="56" t="s">
        <v>208</v>
      </c>
      <c r="B588" t="s">
        <v>21</v>
      </c>
      <c r="C588">
        <v>1</v>
      </c>
      <c r="D588" t="s">
        <v>220</v>
      </c>
      <c r="E588">
        <v>0.35211386760000002</v>
      </c>
      <c r="F588">
        <v>0.50006343921809104</v>
      </c>
      <c r="G588">
        <v>0.70413839522155797</v>
      </c>
      <c r="H588">
        <v>-0.67578125290178703</v>
      </c>
      <c r="I588">
        <v>1.3800089881017901</v>
      </c>
      <c r="J588">
        <v>0.48760586638829601</v>
      </c>
    </row>
    <row r="589" spans="1:10" hidden="1" x14ac:dyDescent="0.2">
      <c r="A589" s="56" t="s">
        <v>208</v>
      </c>
      <c r="B589" t="s">
        <v>21</v>
      </c>
      <c r="C589">
        <v>1</v>
      </c>
      <c r="D589" t="s">
        <v>221</v>
      </c>
      <c r="E589">
        <v>0.58560438999999997</v>
      </c>
      <c r="F589">
        <v>0.50006343921809104</v>
      </c>
      <c r="G589">
        <v>1.1710601977134401</v>
      </c>
      <c r="H589">
        <v>-0.44229073050178702</v>
      </c>
      <c r="I589">
        <v>1.61349951050179</v>
      </c>
      <c r="J589">
        <v>0.25219569933957903</v>
      </c>
    </row>
    <row r="590" spans="1:10" hidden="1" x14ac:dyDescent="0.2">
      <c r="A590" s="56" t="s">
        <v>208</v>
      </c>
      <c r="B590" t="s">
        <v>21</v>
      </c>
      <c r="C590">
        <v>1</v>
      </c>
      <c r="D590" t="s">
        <v>222</v>
      </c>
      <c r="E590">
        <v>-0.27253341380000001</v>
      </c>
      <c r="F590">
        <v>0.72896146461289602</v>
      </c>
      <c r="G590">
        <v>-0.37386532351847301</v>
      </c>
      <c r="H590">
        <v>-1.77093516394803</v>
      </c>
      <c r="I590">
        <v>1.2258683363480301</v>
      </c>
      <c r="J590">
        <v>0.71153601168976</v>
      </c>
    </row>
    <row r="591" spans="1:10" hidden="1" x14ac:dyDescent="0.2">
      <c r="A591" s="56" t="s">
        <v>208</v>
      </c>
      <c r="B591" t="s">
        <v>21</v>
      </c>
      <c r="C591">
        <v>1</v>
      </c>
      <c r="D591" t="s">
        <v>209</v>
      </c>
      <c r="E591">
        <v>1.3160043812</v>
      </c>
      <c r="F591">
        <v>1.0001268784361801</v>
      </c>
      <c r="G591">
        <v>1.31583742980464</v>
      </c>
      <c r="H591">
        <v>-0.73978585980357403</v>
      </c>
      <c r="I591">
        <v>3.37179462220357</v>
      </c>
      <c r="J591">
        <v>0.19971337047759299</v>
      </c>
    </row>
    <row r="592" spans="1:10" hidden="1" x14ac:dyDescent="0.2">
      <c r="A592" s="56" t="s">
        <v>208</v>
      </c>
      <c r="B592" t="s">
        <v>11</v>
      </c>
      <c r="C592">
        <v>0</v>
      </c>
      <c r="D592" t="s">
        <v>218</v>
      </c>
      <c r="E592">
        <v>0.278172798650349</v>
      </c>
      <c r="F592">
        <v>0.37717717411037499</v>
      </c>
      <c r="G592">
        <v>0.73751228267314495</v>
      </c>
      <c r="H592">
        <v>-0.47447253393140998</v>
      </c>
      <c r="I592">
        <v>1.0308181312321101</v>
      </c>
      <c r="J592">
        <v>0.46334825246119599</v>
      </c>
    </row>
    <row r="593" spans="1:10" hidden="1" x14ac:dyDescent="0.2">
      <c r="A593" s="56" t="s">
        <v>208</v>
      </c>
      <c r="B593" t="s">
        <v>11</v>
      </c>
      <c r="C593">
        <v>0</v>
      </c>
      <c r="D593" t="s">
        <v>220</v>
      </c>
      <c r="E593">
        <v>0.27585628339393897</v>
      </c>
      <c r="F593">
        <v>0.43315322590898497</v>
      </c>
      <c r="G593">
        <v>0.63685612132992098</v>
      </c>
      <c r="H593">
        <v>-0.58848752145605199</v>
      </c>
      <c r="I593">
        <v>1.14020008824393</v>
      </c>
      <c r="J593">
        <v>0.526356796090655</v>
      </c>
    </row>
    <row r="594" spans="1:10" hidden="1" x14ac:dyDescent="0.2">
      <c r="A594" s="56" t="s">
        <v>208</v>
      </c>
      <c r="B594" t="s">
        <v>11</v>
      </c>
      <c r="C594">
        <v>0</v>
      </c>
      <c r="D594" t="s">
        <v>221</v>
      </c>
      <c r="E594">
        <v>6.81334587272725E-2</v>
      </c>
      <c r="F594">
        <v>0.45392604028226102</v>
      </c>
      <c r="G594">
        <v>0.150098149656507</v>
      </c>
      <c r="H594">
        <v>-0.83766185182295205</v>
      </c>
      <c r="I594">
        <v>0.97392876927749705</v>
      </c>
      <c r="J594">
        <v>0.88113150813149299</v>
      </c>
    </row>
    <row r="595" spans="1:10" hidden="1" x14ac:dyDescent="0.2">
      <c r="A595" s="56" t="s">
        <v>208</v>
      </c>
      <c r="B595" t="s">
        <v>11</v>
      </c>
      <c r="C595">
        <v>0</v>
      </c>
      <c r="D595" t="s">
        <v>222</v>
      </c>
      <c r="E595">
        <v>0.118534456727273</v>
      </c>
      <c r="F595">
        <v>0.55277062862781201</v>
      </c>
      <c r="G595">
        <v>0.21443696641683099</v>
      </c>
      <c r="H595">
        <v>-0.98450215890646997</v>
      </c>
      <c r="I595">
        <v>1.22157107236102</v>
      </c>
      <c r="J595">
        <v>0.83084807322138199</v>
      </c>
    </row>
    <row r="596" spans="1:10" hidden="1" x14ac:dyDescent="0.2">
      <c r="A596" s="56" t="s">
        <v>208</v>
      </c>
      <c r="B596" t="s">
        <v>11</v>
      </c>
      <c r="C596">
        <v>0</v>
      </c>
      <c r="D596" t="s">
        <v>223</v>
      </c>
      <c r="E596">
        <v>0.18692076439393901</v>
      </c>
      <c r="F596">
        <v>0.51120470345963298</v>
      </c>
      <c r="G596">
        <v>0.36564758330455999</v>
      </c>
      <c r="H596">
        <v>-0.83317233896056497</v>
      </c>
      <c r="I596">
        <v>1.2070138677484401</v>
      </c>
      <c r="J596">
        <v>0.71576306492400799</v>
      </c>
    </row>
    <row r="597" spans="1:10" hidden="1" x14ac:dyDescent="0.2">
      <c r="A597" s="56" t="s">
        <v>208</v>
      </c>
      <c r="B597" t="s">
        <v>11</v>
      </c>
      <c r="C597">
        <v>1</v>
      </c>
      <c r="D597" t="s">
        <v>218</v>
      </c>
      <c r="E597">
        <v>0.134855761816667</v>
      </c>
      <c r="F597">
        <v>0.47471795311572001</v>
      </c>
      <c r="G597">
        <v>0.28407554618814601</v>
      </c>
      <c r="H597">
        <v>-0.84094096586498202</v>
      </c>
      <c r="I597">
        <v>1.1106524894983201</v>
      </c>
      <c r="J597">
        <v>0.77860258962958995</v>
      </c>
    </row>
    <row r="598" spans="1:10" hidden="1" x14ac:dyDescent="0.2">
      <c r="A598" s="56" t="s">
        <v>208</v>
      </c>
      <c r="B598" t="s">
        <v>11</v>
      </c>
      <c r="C598">
        <v>1</v>
      </c>
      <c r="D598" t="s">
        <v>220</v>
      </c>
      <c r="E598">
        <v>-0.203542118133334</v>
      </c>
      <c r="F598">
        <v>0.43563107038229498</v>
      </c>
      <c r="G598">
        <v>-0.467235080258881</v>
      </c>
      <c r="H598">
        <v>-1.0989946076916499</v>
      </c>
      <c r="I598">
        <v>0.69191037142497902</v>
      </c>
      <c r="J598">
        <v>0.64422388624415905</v>
      </c>
    </row>
    <row r="599" spans="1:10" hidden="1" x14ac:dyDescent="0.2">
      <c r="A599" s="56" t="s">
        <v>208</v>
      </c>
      <c r="B599" t="s">
        <v>11</v>
      </c>
      <c r="C599">
        <v>1</v>
      </c>
      <c r="D599" t="s">
        <v>221</v>
      </c>
      <c r="E599">
        <v>-0.22976676493333401</v>
      </c>
      <c r="F599">
        <v>0.43563107038229498</v>
      </c>
      <c r="G599">
        <v>-0.52743429143311105</v>
      </c>
      <c r="H599">
        <v>-1.1252192544916499</v>
      </c>
      <c r="I599">
        <v>0.66568572462497999</v>
      </c>
      <c r="J599">
        <v>0.60236426944527999</v>
      </c>
    </row>
    <row r="600" spans="1:10" hidden="1" x14ac:dyDescent="0.2">
      <c r="A600" s="56" t="s">
        <v>208</v>
      </c>
      <c r="B600" t="s">
        <v>11</v>
      </c>
      <c r="C600">
        <v>1</v>
      </c>
      <c r="D600" t="s">
        <v>222</v>
      </c>
      <c r="E600">
        <v>-0.71726971043333398</v>
      </c>
      <c r="F600">
        <v>0.63503595382478295</v>
      </c>
      <c r="G600">
        <v>-1.1294946468987499</v>
      </c>
      <c r="H600">
        <v>-2.0226048081168302</v>
      </c>
      <c r="I600">
        <v>0.588065387250163</v>
      </c>
      <c r="J600">
        <v>0.26900263760624499</v>
      </c>
    </row>
    <row r="601" spans="1:10" hidden="1" x14ac:dyDescent="0.2">
      <c r="A601" s="56" t="s">
        <v>208</v>
      </c>
      <c r="B601" t="s">
        <v>11</v>
      </c>
      <c r="C601">
        <v>1</v>
      </c>
      <c r="D601" t="s">
        <v>209</v>
      </c>
      <c r="E601">
        <v>0.25501967606666598</v>
      </c>
      <c r="F601">
        <v>0.87126214076459096</v>
      </c>
      <c r="G601">
        <v>0.292701431790517</v>
      </c>
      <c r="H601">
        <v>-1.53588530304996</v>
      </c>
      <c r="I601">
        <v>2.0459246551832901</v>
      </c>
      <c r="J601">
        <v>0.77207364096615305</v>
      </c>
    </row>
    <row r="602" spans="1:10" hidden="1" x14ac:dyDescent="0.2">
      <c r="A602" s="56" t="s">
        <v>208</v>
      </c>
      <c r="B602" t="s">
        <v>13</v>
      </c>
      <c r="C602">
        <v>0</v>
      </c>
      <c r="D602" t="s">
        <v>218</v>
      </c>
      <c r="E602">
        <v>0.56436254304895095</v>
      </c>
      <c r="F602">
        <v>0.3546362095858</v>
      </c>
      <c r="G602">
        <v>1.5913844322555299</v>
      </c>
      <c r="H602">
        <v>-0.14330299513955599</v>
      </c>
      <c r="I602">
        <v>1.27202808123746</v>
      </c>
      <c r="J602">
        <v>0.116161633626894</v>
      </c>
    </row>
    <row r="603" spans="1:10" hidden="1" x14ac:dyDescent="0.2">
      <c r="A603" s="56" t="s">
        <v>208</v>
      </c>
      <c r="B603" t="s">
        <v>13</v>
      </c>
      <c r="C603">
        <v>0</v>
      </c>
      <c r="D603" t="s">
        <v>220</v>
      </c>
      <c r="E603">
        <v>0.51388761481818102</v>
      </c>
      <c r="F603">
        <v>0.40726700540280297</v>
      </c>
      <c r="G603">
        <v>1.2617953529280499</v>
      </c>
      <c r="H603">
        <v>-0.29880104125958201</v>
      </c>
      <c r="I603">
        <v>1.3265762708959401</v>
      </c>
      <c r="J603">
        <v>0.21133345348407501</v>
      </c>
    </row>
    <row r="604" spans="1:10" hidden="1" x14ac:dyDescent="0.2">
      <c r="A604" s="56" t="s">
        <v>208</v>
      </c>
      <c r="B604" t="s">
        <v>13</v>
      </c>
      <c r="C604">
        <v>0</v>
      </c>
      <c r="D604" t="s">
        <v>221</v>
      </c>
      <c r="E604">
        <v>-1.5282143181819099E-2</v>
      </c>
      <c r="F604">
        <v>0.42679838921239799</v>
      </c>
      <c r="G604">
        <v>-3.58064687404758E-2</v>
      </c>
      <c r="H604">
        <v>-0.86694506883946099</v>
      </c>
      <c r="I604">
        <v>0.83638078247582304</v>
      </c>
      <c r="J604">
        <v>0.97154158009809599</v>
      </c>
    </row>
    <row r="605" spans="1:10" hidden="1" x14ac:dyDescent="0.2">
      <c r="A605" s="56" t="s">
        <v>208</v>
      </c>
      <c r="B605" t="s">
        <v>13</v>
      </c>
      <c r="C605">
        <v>0</v>
      </c>
      <c r="D605" t="s">
        <v>222</v>
      </c>
      <c r="E605">
        <v>0.65590718801818104</v>
      </c>
      <c r="F605">
        <v>0.51973580047439705</v>
      </c>
      <c r="G605">
        <v>1.2620011694778199</v>
      </c>
      <c r="H605">
        <v>-0.38120945438029902</v>
      </c>
      <c r="I605">
        <v>1.69302383041666</v>
      </c>
      <c r="J605">
        <v>0.211259832537572</v>
      </c>
    </row>
    <row r="606" spans="1:10" hidden="1" x14ac:dyDescent="0.2">
      <c r="A606" s="56" t="s">
        <v>208</v>
      </c>
      <c r="B606" t="s">
        <v>13</v>
      </c>
      <c r="C606">
        <v>0</v>
      </c>
      <c r="D606" t="s">
        <v>223</v>
      </c>
      <c r="E606">
        <v>5.74383043181819E-2</v>
      </c>
      <c r="F606">
        <v>0.48065394939383299</v>
      </c>
      <c r="G606">
        <v>0.11950032739899299</v>
      </c>
      <c r="H606">
        <v>-0.90169171846626395</v>
      </c>
      <c r="I606">
        <v>1.01656832710263</v>
      </c>
      <c r="J606">
        <v>0.90523133198289896</v>
      </c>
    </row>
    <row r="607" spans="1:10" hidden="1" x14ac:dyDescent="0.2">
      <c r="A607" s="56" t="s">
        <v>208</v>
      </c>
      <c r="B607" t="s">
        <v>13</v>
      </c>
      <c r="C607">
        <v>1</v>
      </c>
      <c r="D607" t="s">
        <v>218</v>
      </c>
      <c r="E607">
        <v>-0.12258908844999999</v>
      </c>
      <c r="F607">
        <v>0.51580983606534803</v>
      </c>
      <c r="G607">
        <v>-0.237663340011354</v>
      </c>
      <c r="H607">
        <v>-1.1828513912238801</v>
      </c>
      <c r="I607">
        <v>0.93767321432387696</v>
      </c>
      <c r="J607">
        <v>0.81400511718177304</v>
      </c>
    </row>
    <row r="608" spans="1:10" hidden="1" x14ac:dyDescent="0.2">
      <c r="A608" s="56" t="s">
        <v>208</v>
      </c>
      <c r="B608" t="s">
        <v>13</v>
      </c>
      <c r="C608">
        <v>1</v>
      </c>
      <c r="D608" t="s">
        <v>220</v>
      </c>
      <c r="E608">
        <v>-0.59587044619999996</v>
      </c>
      <c r="F608">
        <v>0.47333956831434398</v>
      </c>
      <c r="G608">
        <v>-1.25886464197788</v>
      </c>
      <c r="H608">
        <v>-1.5688338633446399</v>
      </c>
      <c r="I608">
        <v>0.377092970944644</v>
      </c>
      <c r="J608">
        <v>0.219265267029262</v>
      </c>
    </row>
    <row r="609" spans="1:10" hidden="1" x14ac:dyDescent="0.2">
      <c r="A609" s="56" t="s">
        <v>208</v>
      </c>
      <c r="B609" t="s">
        <v>13</v>
      </c>
      <c r="C609">
        <v>1</v>
      </c>
      <c r="D609" t="s">
        <v>221</v>
      </c>
      <c r="E609">
        <v>-7.2534574799999904E-2</v>
      </c>
      <c r="F609">
        <v>0.47333956831434398</v>
      </c>
      <c r="G609">
        <v>-0.153240040882933</v>
      </c>
      <c r="H609">
        <v>-1.0454979919446401</v>
      </c>
      <c r="I609">
        <v>0.90042884234464404</v>
      </c>
      <c r="J609">
        <v>0.87939211867533196</v>
      </c>
    </row>
    <row r="610" spans="1:10" hidden="1" x14ac:dyDescent="0.2">
      <c r="A610" s="56" t="s">
        <v>208</v>
      </c>
      <c r="B610" t="s">
        <v>13</v>
      </c>
      <c r="C610">
        <v>1</v>
      </c>
      <c r="D610" t="s">
        <v>222</v>
      </c>
      <c r="E610">
        <v>-0.85138926420000005</v>
      </c>
      <c r="F610">
        <v>0.69000506319194599</v>
      </c>
      <c r="G610">
        <v>-1.23388843012469</v>
      </c>
      <c r="H610">
        <v>-2.2697149844036799</v>
      </c>
      <c r="I610">
        <v>0.56693645600367903</v>
      </c>
      <c r="J610">
        <v>0.22828227018007299</v>
      </c>
    </row>
    <row r="611" spans="1:10" hidden="1" x14ac:dyDescent="0.2">
      <c r="A611" s="56" t="s">
        <v>208</v>
      </c>
      <c r="B611" t="s">
        <v>13</v>
      </c>
      <c r="C611">
        <v>1</v>
      </c>
      <c r="D611" t="s">
        <v>209</v>
      </c>
      <c r="E611">
        <v>-0.54052055119999998</v>
      </c>
      <c r="F611">
        <v>0.94667913662868897</v>
      </c>
      <c r="G611">
        <v>-0.57096489220719604</v>
      </c>
      <c r="H611">
        <v>-2.4864473854892899</v>
      </c>
      <c r="I611">
        <v>1.4054062830892899</v>
      </c>
      <c r="J611">
        <v>0.57292596664088302</v>
      </c>
    </row>
    <row r="612" spans="1:10" hidden="1" x14ac:dyDescent="0.2">
      <c r="A612" s="56" t="s">
        <v>208</v>
      </c>
      <c r="B612" t="s">
        <v>17</v>
      </c>
      <c r="C612">
        <v>0</v>
      </c>
      <c r="D612" t="s">
        <v>218</v>
      </c>
      <c r="E612">
        <v>0.44772196013286703</v>
      </c>
      <c r="F612">
        <v>0.43534087644325498</v>
      </c>
      <c r="G612">
        <v>1.0284399751081601</v>
      </c>
      <c r="H612">
        <v>-0.42098723339108701</v>
      </c>
      <c r="I612">
        <v>1.3164311536568201</v>
      </c>
      <c r="J612">
        <v>0.307387291095366</v>
      </c>
    </row>
    <row r="613" spans="1:10" hidden="1" x14ac:dyDescent="0.2">
      <c r="A613" s="56" t="s">
        <v>208</v>
      </c>
      <c r="B613" t="s">
        <v>17</v>
      </c>
      <c r="C613">
        <v>0</v>
      </c>
      <c r="D613" t="s">
        <v>220</v>
      </c>
      <c r="E613">
        <v>0.79067847469696895</v>
      </c>
      <c r="F613">
        <v>0.49994887799402898</v>
      </c>
      <c r="G613">
        <v>1.5815186502056999</v>
      </c>
      <c r="H613">
        <v>-0.20695397864332599</v>
      </c>
      <c r="I613">
        <v>1.78831092803726</v>
      </c>
      <c r="J613">
        <v>0.118400017032063</v>
      </c>
    </row>
    <row r="614" spans="1:10" hidden="1" x14ac:dyDescent="0.2">
      <c r="A614" s="56" t="s">
        <v>208</v>
      </c>
      <c r="B614" t="s">
        <v>17</v>
      </c>
      <c r="C614">
        <v>0</v>
      </c>
      <c r="D614" t="s">
        <v>221</v>
      </c>
      <c r="E614">
        <v>-0.19425423388636301</v>
      </c>
      <c r="F614">
        <v>0.52392502458027201</v>
      </c>
      <c r="G614">
        <v>-0.37076723724350502</v>
      </c>
      <c r="H614">
        <v>-1.23973034283491</v>
      </c>
      <c r="I614">
        <v>0.85122187506218705</v>
      </c>
      <c r="J614">
        <v>0.71196344344720697</v>
      </c>
    </row>
    <row r="615" spans="1:10" hidden="1" x14ac:dyDescent="0.2">
      <c r="A615" s="56" t="s">
        <v>208</v>
      </c>
      <c r="B615" t="s">
        <v>17</v>
      </c>
      <c r="C615">
        <v>0</v>
      </c>
      <c r="D615" t="s">
        <v>222</v>
      </c>
      <c r="E615">
        <v>-0.15657888903636399</v>
      </c>
      <c r="F615">
        <v>0.63801222994607798</v>
      </c>
      <c r="G615">
        <v>-0.24541675172840699</v>
      </c>
      <c r="H615">
        <v>-1.4297124717660401</v>
      </c>
      <c r="I615">
        <v>1.11655469369331</v>
      </c>
      <c r="J615">
        <v>0.80687293412090499</v>
      </c>
    </row>
    <row r="616" spans="1:10" hidden="1" x14ac:dyDescent="0.2">
      <c r="A616" s="56" t="s">
        <v>208</v>
      </c>
      <c r="B616" t="s">
        <v>17</v>
      </c>
      <c r="C616">
        <v>0</v>
      </c>
      <c r="D616" t="s">
        <v>223</v>
      </c>
      <c r="E616">
        <v>-0.22519481363636401</v>
      </c>
      <c r="F616">
        <v>0.59003651048328198</v>
      </c>
      <c r="G616">
        <v>-0.38166250670134499</v>
      </c>
      <c r="H616">
        <v>-1.4025943387150299</v>
      </c>
      <c r="I616">
        <v>0.95220471144230501</v>
      </c>
      <c r="J616">
        <v>0.70390176453259201</v>
      </c>
    </row>
    <row r="617" spans="1:10" hidden="1" x14ac:dyDescent="0.2">
      <c r="A617" s="56" t="s">
        <v>208</v>
      </c>
      <c r="B617" t="s">
        <v>17</v>
      </c>
      <c r="C617">
        <v>1</v>
      </c>
      <c r="D617" t="s">
        <v>218</v>
      </c>
      <c r="E617">
        <v>0.75203276383333295</v>
      </c>
      <c r="F617">
        <v>0.377146877832441</v>
      </c>
      <c r="G617">
        <v>1.9940050098133</v>
      </c>
      <c r="H617">
        <v>-2.32037462434963E-2</v>
      </c>
      <c r="I617">
        <v>1.5272692739101601</v>
      </c>
      <c r="J617">
        <v>5.6738269264401703E-2</v>
      </c>
    </row>
    <row r="618" spans="1:10" hidden="1" x14ac:dyDescent="0.2">
      <c r="A618" s="56" t="s">
        <v>208</v>
      </c>
      <c r="B618" t="s">
        <v>17</v>
      </c>
      <c r="C618">
        <v>1</v>
      </c>
      <c r="D618" t="s">
        <v>220</v>
      </c>
      <c r="E618">
        <v>0.44422753393333297</v>
      </c>
      <c r="F618">
        <v>0.346093711019682</v>
      </c>
      <c r="G618">
        <v>1.28354696947403</v>
      </c>
      <c r="H618">
        <v>-0.26717827759678298</v>
      </c>
      <c r="I618">
        <v>1.15563334546345</v>
      </c>
      <c r="J618">
        <v>0.21062283144663899</v>
      </c>
    </row>
    <row r="619" spans="1:10" hidden="1" x14ac:dyDescent="0.2">
      <c r="A619" s="56" t="s">
        <v>208</v>
      </c>
      <c r="B619" t="s">
        <v>17</v>
      </c>
      <c r="C619">
        <v>1</v>
      </c>
      <c r="D619" t="s">
        <v>221</v>
      </c>
      <c r="E619">
        <v>0.411795035333333</v>
      </c>
      <c r="F619">
        <v>0.346093711019682</v>
      </c>
      <c r="G619">
        <v>1.1898368049511201</v>
      </c>
      <c r="H619">
        <v>-0.299610776196783</v>
      </c>
      <c r="I619">
        <v>1.12320084686345</v>
      </c>
      <c r="J619">
        <v>0.244862512438941</v>
      </c>
    </row>
    <row r="620" spans="1:10" hidden="1" x14ac:dyDescent="0.2">
      <c r="A620" s="56" t="s">
        <v>208</v>
      </c>
      <c r="B620" t="s">
        <v>17</v>
      </c>
      <c r="C620">
        <v>1</v>
      </c>
      <c r="D620" t="s">
        <v>222</v>
      </c>
      <c r="E620">
        <v>-0.27599540966666702</v>
      </c>
      <c r="F620">
        <v>0.50451394501606395</v>
      </c>
      <c r="G620">
        <v>-0.54705209319413095</v>
      </c>
      <c r="H620">
        <v>-1.3130386758530399</v>
      </c>
      <c r="I620">
        <v>0.76104785651970497</v>
      </c>
      <c r="J620">
        <v>0.58900805415303004</v>
      </c>
    </row>
    <row r="621" spans="1:10" hidden="1" x14ac:dyDescent="0.2">
      <c r="A621" s="56" t="s">
        <v>208</v>
      </c>
      <c r="B621" t="s">
        <v>17</v>
      </c>
      <c r="C621">
        <v>1</v>
      </c>
      <c r="D621" t="s">
        <v>209</v>
      </c>
      <c r="E621">
        <v>0.79036241933333296</v>
      </c>
      <c r="F621">
        <v>0.69218742203936401</v>
      </c>
      <c r="G621">
        <v>1.14183296917578</v>
      </c>
      <c r="H621">
        <v>-0.63244920372689895</v>
      </c>
      <c r="I621">
        <v>2.2131740423935602</v>
      </c>
      <c r="J621">
        <v>0.263930718914694</v>
      </c>
    </row>
    <row r="622" spans="1:10" hidden="1" x14ac:dyDescent="0.2">
      <c r="A622" s="56" t="s">
        <v>208</v>
      </c>
      <c r="B622" t="s">
        <v>26</v>
      </c>
      <c r="C622">
        <v>0</v>
      </c>
      <c r="D622" t="s">
        <v>218</v>
      </c>
      <c r="E622">
        <v>0.56895016810256405</v>
      </c>
      <c r="F622">
        <v>0.42931789773582202</v>
      </c>
      <c r="G622">
        <v>1.3252421366617799</v>
      </c>
      <c r="H622">
        <v>-0.28774035853604402</v>
      </c>
      <c r="I622">
        <v>1.4256406947411699</v>
      </c>
      <c r="J622">
        <v>0.18952651262366399</v>
      </c>
    </row>
    <row r="623" spans="1:10" hidden="1" x14ac:dyDescent="0.2">
      <c r="A623" s="56" t="s">
        <v>208</v>
      </c>
      <c r="B623" t="s">
        <v>26</v>
      </c>
      <c r="C623">
        <v>0</v>
      </c>
      <c r="D623" t="s">
        <v>220</v>
      </c>
      <c r="E623">
        <v>0.92563106677777696</v>
      </c>
      <c r="F623">
        <v>0.49303204199285999</v>
      </c>
      <c r="G623">
        <v>1.8774257815705599</v>
      </c>
      <c r="H623">
        <v>-5.8199055218390097E-2</v>
      </c>
      <c r="I623">
        <v>1.9094611887739401</v>
      </c>
      <c r="J623">
        <v>6.4749537931197296E-2</v>
      </c>
    </row>
    <row r="624" spans="1:10" hidden="1" x14ac:dyDescent="0.2">
      <c r="A624" s="56" t="s">
        <v>208</v>
      </c>
      <c r="B624" t="s">
        <v>26</v>
      </c>
      <c r="C624">
        <v>0</v>
      </c>
      <c r="D624" t="s">
        <v>221</v>
      </c>
      <c r="E624">
        <v>-0.14067217741666799</v>
      </c>
      <c r="F624">
        <v>0.51667647651577697</v>
      </c>
      <c r="G624">
        <v>-0.272263561068805</v>
      </c>
      <c r="H624">
        <v>-1.17168403390454</v>
      </c>
      <c r="I624">
        <v>0.89033967907120604</v>
      </c>
      <c r="J624">
        <v>0.78624438569151001</v>
      </c>
    </row>
    <row r="625" spans="1:10" hidden="1" x14ac:dyDescent="0.2">
      <c r="A625" s="56" t="s">
        <v>208</v>
      </c>
      <c r="B625" t="s">
        <v>26</v>
      </c>
      <c r="C625">
        <v>0</v>
      </c>
      <c r="D625" t="s">
        <v>222</v>
      </c>
      <c r="E625">
        <v>-2.7233377666666898E-2</v>
      </c>
      <c r="F625">
        <v>0.62918527552029002</v>
      </c>
      <c r="G625">
        <v>-4.3283558478298602E-2</v>
      </c>
      <c r="H625">
        <v>-1.28275304708053</v>
      </c>
      <c r="I625">
        <v>1.2282862917471999</v>
      </c>
      <c r="J625">
        <v>0.96560234591456895</v>
      </c>
    </row>
    <row r="626" spans="1:10" hidden="1" x14ac:dyDescent="0.2">
      <c r="A626" s="56" t="s">
        <v>208</v>
      </c>
      <c r="B626" t="s">
        <v>26</v>
      </c>
      <c r="C626">
        <v>0</v>
      </c>
      <c r="D626" t="s">
        <v>223</v>
      </c>
      <c r="E626">
        <v>-5.8942607166667702E-2</v>
      </c>
      <c r="F626">
        <v>0.58187330428890105</v>
      </c>
      <c r="G626">
        <v>-0.10129800891742299</v>
      </c>
      <c r="H626">
        <v>-1.2200527079035901</v>
      </c>
      <c r="I626">
        <v>1.1021674935702599</v>
      </c>
      <c r="J626">
        <v>0.91961199424124296</v>
      </c>
    </row>
    <row r="627" spans="1:10" hidden="1" x14ac:dyDescent="0.2">
      <c r="A627" s="56" t="s">
        <v>208</v>
      </c>
      <c r="B627" t="s">
        <v>26</v>
      </c>
      <c r="C627">
        <v>1</v>
      </c>
      <c r="D627" t="s">
        <v>218</v>
      </c>
      <c r="E627">
        <v>0.41985505504999998</v>
      </c>
      <c r="F627">
        <v>0.52216919758043001</v>
      </c>
      <c r="G627">
        <v>0.80405940640596596</v>
      </c>
      <c r="H627">
        <v>-0.65347910252910002</v>
      </c>
      <c r="I627">
        <v>1.4931892126291</v>
      </c>
      <c r="J627">
        <v>0.42865351763486997</v>
      </c>
    </row>
    <row r="628" spans="1:10" hidden="1" x14ac:dyDescent="0.2">
      <c r="A628" s="56" t="s">
        <v>208</v>
      </c>
      <c r="B628" t="s">
        <v>26</v>
      </c>
      <c r="C628">
        <v>1</v>
      </c>
      <c r="D628" t="s">
        <v>220</v>
      </c>
      <c r="E628">
        <v>-0.20614464860000001</v>
      </c>
      <c r="F628">
        <v>0.47917531867006702</v>
      </c>
      <c r="G628">
        <v>-0.43020715084438599</v>
      </c>
      <c r="H628">
        <v>-1.1911036223974001</v>
      </c>
      <c r="I628">
        <v>0.77881432519740201</v>
      </c>
      <c r="J628">
        <v>0.67058994824433704</v>
      </c>
    </row>
    <row r="629" spans="1:10" hidden="1" x14ac:dyDescent="0.2">
      <c r="A629" s="56" t="s">
        <v>208</v>
      </c>
      <c r="B629" t="s">
        <v>26</v>
      </c>
      <c r="C629">
        <v>1</v>
      </c>
      <c r="D629" t="s">
        <v>221</v>
      </c>
      <c r="E629">
        <v>-4.22340072E-2</v>
      </c>
      <c r="F629">
        <v>0.47917531867006702</v>
      </c>
      <c r="G629">
        <v>-8.8138945297138602E-2</v>
      </c>
      <c r="H629">
        <v>-1.0271929809974001</v>
      </c>
      <c r="I629">
        <v>0.94272496659740201</v>
      </c>
      <c r="J629">
        <v>0.93044161846353801</v>
      </c>
    </row>
    <row r="630" spans="1:10" hidden="1" x14ac:dyDescent="0.2">
      <c r="A630" s="56" t="s">
        <v>208</v>
      </c>
      <c r="B630" t="s">
        <v>26</v>
      </c>
      <c r="C630">
        <v>1</v>
      </c>
      <c r="D630" t="s">
        <v>222</v>
      </c>
      <c r="E630">
        <v>-0.44485381070000002</v>
      </c>
      <c r="F630">
        <v>0.69851205809058203</v>
      </c>
      <c r="G630">
        <v>-0.63685917164555494</v>
      </c>
      <c r="H630">
        <v>-1.88066590935221</v>
      </c>
      <c r="I630">
        <v>0.99095828795221097</v>
      </c>
      <c r="J630">
        <v>0.52978454205740499</v>
      </c>
    </row>
    <row r="631" spans="1:10" hidden="1" x14ac:dyDescent="0.2">
      <c r="A631" s="56" t="s">
        <v>208</v>
      </c>
      <c r="B631" t="s">
        <v>26</v>
      </c>
      <c r="C631">
        <v>1</v>
      </c>
      <c r="D631" t="s">
        <v>209</v>
      </c>
      <c r="E631">
        <v>0.14384947880000001</v>
      </c>
      <c r="F631">
        <v>0.95835063734013404</v>
      </c>
      <c r="G631">
        <v>0.15010109368659599</v>
      </c>
      <c r="H631">
        <v>-1.8260684687947999</v>
      </c>
      <c r="I631">
        <v>2.1137674263948001</v>
      </c>
      <c r="J631">
        <v>0.88184323505662099</v>
      </c>
    </row>
    <row r="632" spans="1:10" hidden="1" x14ac:dyDescent="0.2">
      <c r="A632" s="56" t="s">
        <v>208</v>
      </c>
      <c r="B632" t="s">
        <v>9</v>
      </c>
      <c r="C632">
        <v>0</v>
      </c>
      <c r="D632" t="s">
        <v>218</v>
      </c>
      <c r="E632">
        <v>6.7109775342657302E-2</v>
      </c>
      <c r="F632">
        <v>0.31800978955706799</v>
      </c>
      <c r="G632">
        <v>0.21103053285287099</v>
      </c>
      <c r="H632">
        <v>-0.56746887960901504</v>
      </c>
      <c r="I632">
        <v>0.70168843029433003</v>
      </c>
      <c r="J632">
        <v>0.83349459108243296</v>
      </c>
    </row>
    <row r="633" spans="1:10" hidden="1" x14ac:dyDescent="0.2">
      <c r="A633" s="56" t="s">
        <v>208</v>
      </c>
      <c r="B633" t="s">
        <v>9</v>
      </c>
      <c r="C633">
        <v>0</v>
      </c>
      <c r="D633" t="s">
        <v>220</v>
      </c>
      <c r="E633">
        <v>-0.44269832260606001</v>
      </c>
      <c r="F633">
        <v>0.36520493728756698</v>
      </c>
      <c r="G633">
        <v>-1.21219150511504</v>
      </c>
      <c r="H633">
        <v>-1.1714534285681899</v>
      </c>
      <c r="I633">
        <v>0.28605678335606399</v>
      </c>
      <c r="J633">
        <v>0.229634095351128</v>
      </c>
    </row>
    <row r="634" spans="1:10" hidden="1" x14ac:dyDescent="0.2">
      <c r="A634" s="56" t="s">
        <v>208</v>
      </c>
      <c r="B634" t="s">
        <v>9</v>
      </c>
      <c r="C634">
        <v>0</v>
      </c>
      <c r="D634" t="s">
        <v>221</v>
      </c>
      <c r="E634">
        <v>5.1719282727271998E-2</v>
      </c>
      <c r="F634">
        <v>0.38271914223100001</v>
      </c>
      <c r="G634">
        <v>0.13513638859499599</v>
      </c>
      <c r="H634">
        <v>-0.71198487505816699</v>
      </c>
      <c r="I634">
        <v>0.81542344051271098</v>
      </c>
      <c r="J634">
        <v>0.89290326145902499</v>
      </c>
    </row>
    <row r="635" spans="1:10" hidden="1" x14ac:dyDescent="0.2">
      <c r="A635" s="56" t="s">
        <v>208</v>
      </c>
      <c r="B635" t="s">
        <v>9</v>
      </c>
      <c r="C635">
        <v>0</v>
      </c>
      <c r="D635" t="s">
        <v>222</v>
      </c>
      <c r="E635">
        <v>6.8340418127272498E-2</v>
      </c>
      <c r="F635">
        <v>0.46605808450067399</v>
      </c>
      <c r="G635">
        <v>0.146634980488518</v>
      </c>
      <c r="H635">
        <v>-0.86166400973552704</v>
      </c>
      <c r="I635">
        <v>0.99834484599007201</v>
      </c>
      <c r="J635">
        <v>0.88385400536360004</v>
      </c>
    </row>
    <row r="636" spans="1:10" hidden="1" x14ac:dyDescent="0.2">
      <c r="A636" s="56" t="s">
        <v>208</v>
      </c>
      <c r="B636" t="s">
        <v>9</v>
      </c>
      <c r="C636">
        <v>0</v>
      </c>
      <c r="D636" t="s">
        <v>223</v>
      </c>
      <c r="E636">
        <v>0.237552729227272</v>
      </c>
      <c r="F636">
        <v>0.43101256207038702</v>
      </c>
      <c r="G636">
        <v>0.55115036110821802</v>
      </c>
      <c r="H636">
        <v>-0.62251944744016297</v>
      </c>
      <c r="I636">
        <v>1.0976249058947101</v>
      </c>
      <c r="J636">
        <v>0.58333706961281595</v>
      </c>
    </row>
    <row r="637" spans="1:10" hidden="1" x14ac:dyDescent="0.2">
      <c r="A637" s="56" t="s">
        <v>208</v>
      </c>
      <c r="B637" t="s">
        <v>9</v>
      </c>
      <c r="C637">
        <v>1</v>
      </c>
      <c r="D637" t="s">
        <v>218</v>
      </c>
      <c r="E637">
        <v>0.140921648916666</v>
      </c>
      <c r="F637">
        <v>0.36665327538655501</v>
      </c>
      <c r="G637">
        <v>0.38434580672461199</v>
      </c>
      <c r="H637">
        <v>-0.61274495241522897</v>
      </c>
      <c r="I637">
        <v>0.89458825024856203</v>
      </c>
      <c r="J637">
        <v>0.70384780500341904</v>
      </c>
    </row>
    <row r="638" spans="1:10" hidden="1" x14ac:dyDescent="0.2">
      <c r="A638" s="56" t="s">
        <v>208</v>
      </c>
      <c r="B638" t="s">
        <v>9</v>
      </c>
      <c r="C638">
        <v>1</v>
      </c>
      <c r="D638" t="s">
        <v>220</v>
      </c>
      <c r="E638">
        <v>0.247584764466667</v>
      </c>
      <c r="F638">
        <v>0.33646412099540701</v>
      </c>
      <c r="G638">
        <v>0.735842988946946</v>
      </c>
      <c r="H638">
        <v>-0.44402714128648901</v>
      </c>
      <c r="I638">
        <v>0.93919667021982201</v>
      </c>
      <c r="J638">
        <v>0.468413269960398</v>
      </c>
    </row>
    <row r="639" spans="1:10" hidden="1" x14ac:dyDescent="0.2">
      <c r="A639" s="56" t="s">
        <v>208</v>
      </c>
      <c r="B639" t="s">
        <v>9</v>
      </c>
      <c r="C639">
        <v>1</v>
      </c>
      <c r="D639" t="s">
        <v>221</v>
      </c>
      <c r="E639">
        <v>0.285659333466667</v>
      </c>
      <c r="F639">
        <v>0.33646412099540701</v>
      </c>
      <c r="G639">
        <v>0.84900384808211504</v>
      </c>
      <c r="H639">
        <v>-0.40595257228648901</v>
      </c>
      <c r="I639">
        <v>0.97727123921982195</v>
      </c>
      <c r="J639">
        <v>0.403628751456933</v>
      </c>
    </row>
    <row r="640" spans="1:10" hidden="1" x14ac:dyDescent="0.2">
      <c r="A640" s="56" t="s">
        <v>208</v>
      </c>
      <c r="B640" t="s">
        <v>9</v>
      </c>
      <c r="C640">
        <v>1</v>
      </c>
      <c r="D640" t="s">
        <v>222</v>
      </c>
      <c r="E640">
        <v>-7.9825581833332895E-2</v>
      </c>
      <c r="F640">
        <v>0.49047652596640601</v>
      </c>
      <c r="G640">
        <v>-0.162751074938906</v>
      </c>
      <c r="H640">
        <v>-1.08801451992057</v>
      </c>
      <c r="I640">
        <v>0.92836335625389999</v>
      </c>
      <c r="J640">
        <v>0.87197278463015204</v>
      </c>
    </row>
    <row r="641" spans="1:10" hidden="1" x14ac:dyDescent="0.2">
      <c r="A641" s="56" t="s">
        <v>208</v>
      </c>
      <c r="B641" t="s">
        <v>9</v>
      </c>
      <c r="C641">
        <v>1</v>
      </c>
      <c r="D641" t="s">
        <v>209</v>
      </c>
      <c r="E641">
        <v>-0.41383418533333299</v>
      </c>
      <c r="F641">
        <v>0.67292824199081303</v>
      </c>
      <c r="G641">
        <v>-0.61497520762248403</v>
      </c>
      <c r="H641">
        <v>-1.7970579968396401</v>
      </c>
      <c r="I641">
        <v>0.96938962617297797</v>
      </c>
      <c r="J641">
        <v>0.54391645048029003</v>
      </c>
    </row>
    <row r="642" spans="1:10" hidden="1" x14ac:dyDescent="0.2">
      <c r="A642" s="58" t="s">
        <v>206</v>
      </c>
      <c r="B642" t="s">
        <v>18</v>
      </c>
      <c r="C642">
        <v>0</v>
      </c>
      <c r="D642" t="s">
        <v>215</v>
      </c>
      <c r="E642">
        <v>0.1156133565</v>
      </c>
      <c r="F642">
        <v>0.93466213490850503</v>
      </c>
      <c r="G642">
        <v>0.12369534635241999</v>
      </c>
      <c r="H642">
        <v>-1.7499800729685</v>
      </c>
      <c r="I642">
        <v>1.9812067859685001</v>
      </c>
      <c r="J642">
        <v>0.90192683273339602</v>
      </c>
    </row>
    <row r="643" spans="1:10" hidden="1" x14ac:dyDescent="0.2">
      <c r="A643" s="58" t="s">
        <v>206</v>
      </c>
      <c r="B643" t="s">
        <v>18</v>
      </c>
      <c r="C643">
        <v>0</v>
      </c>
      <c r="D643" t="s">
        <v>211</v>
      </c>
      <c r="E643">
        <v>0.43488227728571499</v>
      </c>
      <c r="F643">
        <v>0.91781999623441402</v>
      </c>
      <c r="G643">
        <v>0.47382087889774499</v>
      </c>
      <c r="H643">
        <v>-1.39709410268964</v>
      </c>
      <c r="I643">
        <v>2.2668586572610701</v>
      </c>
      <c r="J643">
        <v>0.63716805439914703</v>
      </c>
    </row>
    <row r="644" spans="1:10" hidden="1" x14ac:dyDescent="0.2">
      <c r="A644" s="58" t="s">
        <v>206</v>
      </c>
      <c r="B644" t="s">
        <v>18</v>
      </c>
      <c r="C644">
        <v>0</v>
      </c>
      <c r="D644" t="s">
        <v>214</v>
      </c>
      <c r="E644">
        <v>0.13468987925000001</v>
      </c>
      <c r="F644">
        <v>0.90498272070782904</v>
      </c>
      <c r="G644">
        <v>0.148831437515904</v>
      </c>
      <c r="H644">
        <v>-1.67166319153137</v>
      </c>
      <c r="I644">
        <v>1.94104295003137</v>
      </c>
      <c r="J644">
        <v>0.88213370403368296</v>
      </c>
    </row>
    <row r="645" spans="1:10" hidden="1" x14ac:dyDescent="0.2">
      <c r="A645" s="58" t="s">
        <v>206</v>
      </c>
      <c r="B645" t="s">
        <v>18</v>
      </c>
      <c r="C645">
        <v>0</v>
      </c>
      <c r="D645" t="s">
        <v>210</v>
      </c>
      <c r="E645">
        <v>1.365881645E-2</v>
      </c>
      <c r="F645">
        <v>0.84894904311517805</v>
      </c>
      <c r="G645">
        <v>1.6089088692390299E-2</v>
      </c>
      <c r="H645">
        <v>-1.6808505657496799</v>
      </c>
      <c r="I645">
        <v>1.7081681986496799</v>
      </c>
      <c r="J645">
        <v>0.98721113362970303</v>
      </c>
    </row>
    <row r="646" spans="1:10" hidden="1" x14ac:dyDescent="0.2">
      <c r="A646" s="58" t="s">
        <v>206</v>
      </c>
      <c r="B646" t="s">
        <v>18</v>
      </c>
      <c r="C646">
        <v>0</v>
      </c>
      <c r="D646" t="s">
        <v>207</v>
      </c>
      <c r="E646">
        <v>2.2306272518518199E-2</v>
      </c>
      <c r="F646">
        <v>0.83888493924508201</v>
      </c>
      <c r="G646">
        <v>2.65903838237837E-2</v>
      </c>
      <c r="H646">
        <v>-1.6521150742806701</v>
      </c>
      <c r="I646">
        <v>1.6967276193177001</v>
      </c>
      <c r="J646">
        <v>0.97886548494864001</v>
      </c>
    </row>
    <row r="647" spans="1:10" hidden="1" x14ac:dyDescent="0.2">
      <c r="A647" s="58" t="s">
        <v>206</v>
      </c>
      <c r="B647" t="s">
        <v>18</v>
      </c>
      <c r="C647">
        <v>0</v>
      </c>
      <c r="D647" t="s">
        <v>219</v>
      </c>
      <c r="E647">
        <v>0.28419195625000099</v>
      </c>
      <c r="F647">
        <v>0.99135890056815201</v>
      </c>
      <c r="G647">
        <v>0.286669092381305</v>
      </c>
      <c r="H647">
        <v>-1.69456869112136</v>
      </c>
      <c r="I647">
        <v>2.2629526036213701</v>
      </c>
      <c r="J647">
        <v>0.77525033754108696</v>
      </c>
    </row>
    <row r="648" spans="1:10" hidden="1" x14ac:dyDescent="0.2">
      <c r="A648" s="58" t="s">
        <v>206</v>
      </c>
      <c r="B648" t="s">
        <v>18</v>
      </c>
      <c r="C648">
        <v>1</v>
      </c>
      <c r="D648" t="s">
        <v>215</v>
      </c>
      <c r="E648">
        <v>1.4830452973333299</v>
      </c>
      <c r="F648">
        <v>0.70330745283210205</v>
      </c>
      <c r="G648">
        <v>2.1086728021455698</v>
      </c>
      <c r="H648">
        <v>3.73761236200136E-2</v>
      </c>
      <c r="I648">
        <v>2.9287144710466499</v>
      </c>
      <c r="J648">
        <v>4.4761277595002098E-2</v>
      </c>
    </row>
    <row r="649" spans="1:10" hidden="1" x14ac:dyDescent="0.2">
      <c r="A649" s="58" t="s">
        <v>206</v>
      </c>
      <c r="B649" t="s">
        <v>18</v>
      </c>
      <c r="C649">
        <v>1</v>
      </c>
      <c r="D649" t="s">
        <v>211</v>
      </c>
      <c r="E649">
        <v>-0.62817549016666596</v>
      </c>
      <c r="F649">
        <v>0.55601336158022097</v>
      </c>
      <c r="G649">
        <v>-1.12978488211391</v>
      </c>
      <c r="H649">
        <v>-1.7710773231735899</v>
      </c>
      <c r="I649">
        <v>0.51472634284026197</v>
      </c>
      <c r="J649">
        <v>0.26888252245417898</v>
      </c>
    </row>
    <row r="650" spans="1:10" hidden="1" x14ac:dyDescent="0.2">
      <c r="A650" s="58" t="s">
        <v>206</v>
      </c>
      <c r="B650" t="s">
        <v>18</v>
      </c>
      <c r="C650">
        <v>1</v>
      </c>
      <c r="D650" t="s">
        <v>214</v>
      </c>
      <c r="E650">
        <v>-0.68673559806666695</v>
      </c>
      <c r="F650">
        <v>0.44481068926417699</v>
      </c>
      <c r="G650">
        <v>-1.5438828576774799</v>
      </c>
      <c r="H650">
        <v>-1.60105706447221</v>
      </c>
      <c r="I650">
        <v>0.22758586833887601</v>
      </c>
      <c r="J650">
        <v>0.13470220873927399</v>
      </c>
    </row>
    <row r="651" spans="1:10" hidden="1" x14ac:dyDescent="0.2">
      <c r="A651" s="58" t="s">
        <v>206</v>
      </c>
      <c r="B651" t="s">
        <v>18</v>
      </c>
      <c r="C651">
        <v>1</v>
      </c>
      <c r="D651" t="s">
        <v>210</v>
      </c>
      <c r="E651">
        <v>-0.71800244255555501</v>
      </c>
      <c r="F651">
        <v>0.40605474721568402</v>
      </c>
      <c r="G651">
        <v>-1.76824048352813</v>
      </c>
      <c r="H651">
        <v>-1.55265992915808</v>
      </c>
      <c r="I651">
        <v>0.11665504404697399</v>
      </c>
      <c r="J651">
        <v>8.8754573950156998E-2</v>
      </c>
    </row>
    <row r="652" spans="1:10" hidden="1" x14ac:dyDescent="0.2">
      <c r="A652" s="58" t="s">
        <v>206</v>
      </c>
      <c r="B652" t="s">
        <v>18</v>
      </c>
      <c r="C652">
        <v>1</v>
      </c>
      <c r="D652" t="s">
        <v>207</v>
      </c>
      <c r="E652">
        <v>-0.36810333388888899</v>
      </c>
      <c r="F652">
        <v>0.40605474721568402</v>
      </c>
      <c r="G652">
        <v>-0.90653621565311604</v>
      </c>
      <c r="H652">
        <v>-1.20276082049142</v>
      </c>
      <c r="I652">
        <v>0.46655415271363998</v>
      </c>
      <c r="J652">
        <v>0.37297741287772701</v>
      </c>
    </row>
    <row r="653" spans="1:10" hidden="1" x14ac:dyDescent="0.2">
      <c r="A653" s="58" t="s">
        <v>206</v>
      </c>
      <c r="B653" t="s">
        <v>18</v>
      </c>
      <c r="C653">
        <v>1</v>
      </c>
      <c r="D653" t="s">
        <v>219</v>
      </c>
      <c r="E653">
        <v>-1.0502230211666701</v>
      </c>
      <c r="F653">
        <v>0.465194153853008</v>
      </c>
      <c r="G653">
        <v>-2.25760150351871</v>
      </c>
      <c r="H653">
        <v>-2.0064432990960901</v>
      </c>
      <c r="I653">
        <v>-9.4002743237246694E-2</v>
      </c>
      <c r="J653">
        <v>3.25955985599111E-2</v>
      </c>
    </row>
    <row r="654" spans="1:10" hidden="1" x14ac:dyDescent="0.2">
      <c r="A654" s="58" t="s">
        <v>206</v>
      </c>
      <c r="B654" t="s">
        <v>25</v>
      </c>
      <c r="C654">
        <v>0</v>
      </c>
      <c r="D654" t="s">
        <v>215</v>
      </c>
      <c r="E654">
        <v>2.9332008500000201E-2</v>
      </c>
      <c r="F654">
        <v>0.88807783535561602</v>
      </c>
      <c r="G654">
        <v>3.3028646062599497E-2</v>
      </c>
      <c r="H654">
        <v>-1.74327876989451</v>
      </c>
      <c r="I654">
        <v>1.8019427868945099</v>
      </c>
      <c r="J654">
        <v>0.97374994260242298</v>
      </c>
    </row>
    <row r="655" spans="1:10" hidden="1" x14ac:dyDescent="0.2">
      <c r="A655" s="58" t="s">
        <v>206</v>
      </c>
      <c r="B655" t="s">
        <v>25</v>
      </c>
      <c r="C655">
        <v>0</v>
      </c>
      <c r="D655" t="s">
        <v>211</v>
      </c>
      <c r="E655">
        <v>1.4238353155714301</v>
      </c>
      <c r="F655">
        <v>0.872075122184925</v>
      </c>
      <c r="G655">
        <v>1.6326980088643099</v>
      </c>
      <c r="H655">
        <v>-0.31683391364731101</v>
      </c>
      <c r="I655">
        <v>3.1645045447901698</v>
      </c>
      <c r="J655">
        <v>0.107223903018724</v>
      </c>
    </row>
    <row r="656" spans="1:10" hidden="1" x14ac:dyDescent="0.2">
      <c r="A656" s="58" t="s">
        <v>206</v>
      </c>
      <c r="B656" t="s">
        <v>25</v>
      </c>
      <c r="C656">
        <v>0</v>
      </c>
      <c r="D656" t="s">
        <v>214</v>
      </c>
      <c r="E656">
        <v>0.82099066674999999</v>
      </c>
      <c r="F656">
        <v>0.859877666617059</v>
      </c>
      <c r="G656">
        <v>0.95477612528297295</v>
      </c>
      <c r="H656">
        <v>-0.89533233925742906</v>
      </c>
      <c r="I656">
        <v>2.5373136727574299</v>
      </c>
      <c r="J656">
        <v>0.34312315136943899</v>
      </c>
    </row>
    <row r="657" spans="1:10" hidden="1" x14ac:dyDescent="0.2">
      <c r="A657" s="58" t="s">
        <v>206</v>
      </c>
      <c r="B657" t="s">
        <v>25</v>
      </c>
      <c r="C657">
        <v>0</v>
      </c>
      <c r="D657" t="s">
        <v>210</v>
      </c>
      <c r="E657">
        <v>0.92713301295000095</v>
      </c>
      <c r="F657">
        <v>0.80663675180417005</v>
      </c>
      <c r="G657">
        <v>1.1493810700743801</v>
      </c>
      <c r="H657">
        <v>-0.68292068231495295</v>
      </c>
      <c r="I657">
        <v>2.53718670821495</v>
      </c>
      <c r="J657">
        <v>0.25448537080650202</v>
      </c>
    </row>
    <row r="658" spans="1:10" hidden="1" x14ac:dyDescent="0.2">
      <c r="A658" s="58" t="s">
        <v>206</v>
      </c>
      <c r="B658" t="s">
        <v>25</v>
      </c>
      <c r="C658">
        <v>0</v>
      </c>
      <c r="D658" t="s">
        <v>207</v>
      </c>
      <c r="E658">
        <v>0.28513414892592598</v>
      </c>
      <c r="F658">
        <v>0.79707425082554295</v>
      </c>
      <c r="G658">
        <v>0.35772595668547502</v>
      </c>
      <c r="H658">
        <v>-1.3058327145003099</v>
      </c>
      <c r="I658">
        <v>1.87610101235216</v>
      </c>
      <c r="J658">
        <v>0.72167288838260202</v>
      </c>
    </row>
    <row r="659" spans="1:10" hidden="1" x14ac:dyDescent="0.2">
      <c r="A659" s="58" t="s">
        <v>206</v>
      </c>
      <c r="B659" t="s">
        <v>25</v>
      </c>
      <c r="C659">
        <v>0</v>
      </c>
      <c r="D659" t="s">
        <v>219</v>
      </c>
      <c r="E659">
        <v>0.59384506050000097</v>
      </c>
      <c r="F659">
        <v>0.94194878940214199</v>
      </c>
      <c r="G659">
        <v>0.63044304231965398</v>
      </c>
      <c r="H659">
        <v>-1.28629259221069</v>
      </c>
      <c r="I659">
        <v>2.47398271321069</v>
      </c>
      <c r="J659">
        <v>0.53054927569963295</v>
      </c>
    </row>
    <row r="660" spans="1:10" hidden="1" x14ac:dyDescent="0.2">
      <c r="A660" s="58" t="s">
        <v>206</v>
      </c>
      <c r="B660" t="s">
        <v>25</v>
      </c>
      <c r="C660">
        <v>1</v>
      </c>
      <c r="D660" t="s">
        <v>215</v>
      </c>
      <c r="E660">
        <v>1.931757757</v>
      </c>
      <c r="F660">
        <v>1.0086406096583</v>
      </c>
      <c r="G660">
        <v>1.9152091820439701</v>
      </c>
      <c r="H660">
        <v>-0.14153270916332999</v>
      </c>
      <c r="I660">
        <v>4.00504822316333</v>
      </c>
      <c r="J660">
        <v>6.6527204440723298E-2</v>
      </c>
    </row>
    <row r="661" spans="1:10" hidden="1" x14ac:dyDescent="0.2">
      <c r="A661" s="58" t="s">
        <v>206</v>
      </c>
      <c r="B661" t="s">
        <v>25</v>
      </c>
      <c r="C661">
        <v>1</v>
      </c>
      <c r="D661" t="s">
        <v>211</v>
      </c>
      <c r="E661">
        <v>0.34782842000000003</v>
      </c>
      <c r="F661">
        <v>0.79740041676526396</v>
      </c>
      <c r="G661">
        <v>0.436202957368647</v>
      </c>
      <c r="H661">
        <v>-1.2912516110471</v>
      </c>
      <c r="I661">
        <v>1.9869084510471</v>
      </c>
      <c r="J661">
        <v>0.66629017443575</v>
      </c>
    </row>
    <row r="662" spans="1:10" hidden="1" x14ac:dyDescent="0.2">
      <c r="A662" s="58" t="s">
        <v>206</v>
      </c>
      <c r="B662" t="s">
        <v>25</v>
      </c>
      <c r="C662">
        <v>1</v>
      </c>
      <c r="D662" t="s">
        <v>214</v>
      </c>
      <c r="E662">
        <v>-0.23171702920000001</v>
      </c>
      <c r="F662">
        <v>0.63792033341221099</v>
      </c>
      <c r="G662">
        <v>-0.36323819302099097</v>
      </c>
      <c r="H662">
        <v>-1.54298105403768</v>
      </c>
      <c r="I662">
        <v>1.07954699563768</v>
      </c>
      <c r="J662">
        <v>0.71936362756218897</v>
      </c>
    </row>
    <row r="663" spans="1:10" hidden="1" x14ac:dyDescent="0.2">
      <c r="A663" s="58" t="s">
        <v>206</v>
      </c>
      <c r="B663" t="s">
        <v>25</v>
      </c>
      <c r="C663">
        <v>1</v>
      </c>
      <c r="D663" t="s">
        <v>210</v>
      </c>
      <c r="E663">
        <v>-0.114544238888889</v>
      </c>
      <c r="F663">
        <v>0.58233892750180805</v>
      </c>
      <c r="G663">
        <v>-0.19669686067575101</v>
      </c>
      <c r="H663">
        <v>-1.3115590476365699</v>
      </c>
      <c r="I663">
        <v>1.08247056985879</v>
      </c>
      <c r="J663">
        <v>0.84559423334506401</v>
      </c>
    </row>
    <row r="664" spans="1:10" hidden="1" x14ac:dyDescent="0.2">
      <c r="A664" s="58" t="s">
        <v>206</v>
      </c>
      <c r="B664" t="s">
        <v>25</v>
      </c>
      <c r="C664">
        <v>1</v>
      </c>
      <c r="D664" t="s">
        <v>207</v>
      </c>
      <c r="E664">
        <v>0.39991227200000001</v>
      </c>
      <c r="F664">
        <v>0.58233892750180805</v>
      </c>
      <c r="G664">
        <v>0.68673456833049995</v>
      </c>
      <c r="H664">
        <v>-0.79710253674768305</v>
      </c>
      <c r="I664">
        <v>1.5969270807476801</v>
      </c>
      <c r="J664">
        <v>0.49832971501525802</v>
      </c>
    </row>
    <row r="665" spans="1:10" hidden="1" x14ac:dyDescent="0.2">
      <c r="A665" s="58" t="s">
        <v>206</v>
      </c>
      <c r="B665" t="s">
        <v>25</v>
      </c>
      <c r="C665">
        <v>1</v>
      </c>
      <c r="D665" t="s">
        <v>219</v>
      </c>
      <c r="E665">
        <v>-0.47699860199999999</v>
      </c>
      <c r="F665">
        <v>0.66715305384910895</v>
      </c>
      <c r="G665">
        <v>-0.71497627005973896</v>
      </c>
      <c r="H665">
        <v>-1.84835134426734</v>
      </c>
      <c r="I665">
        <v>0.89435414026733695</v>
      </c>
      <c r="J665">
        <v>0.480994956833391</v>
      </c>
    </row>
    <row r="666" spans="1:10" hidden="1" x14ac:dyDescent="0.2">
      <c r="A666" s="58" t="s">
        <v>206</v>
      </c>
      <c r="B666" t="s">
        <v>14</v>
      </c>
      <c r="C666">
        <v>0</v>
      </c>
      <c r="D666" t="s">
        <v>215</v>
      </c>
      <c r="E666">
        <v>0.619039969999999</v>
      </c>
      <c r="F666">
        <v>0.88093677679957505</v>
      </c>
      <c r="G666">
        <v>0.70270646691463901</v>
      </c>
      <c r="H666">
        <v>-1.1393171958600701</v>
      </c>
      <c r="I666">
        <v>2.3773971358600701</v>
      </c>
      <c r="J666">
        <v>0.48467314664595401</v>
      </c>
    </row>
    <row r="667" spans="1:10" hidden="1" x14ac:dyDescent="0.2">
      <c r="A667" s="58" t="s">
        <v>206</v>
      </c>
      <c r="B667" t="s">
        <v>14</v>
      </c>
      <c r="C667">
        <v>0</v>
      </c>
      <c r="D667" t="s">
        <v>211</v>
      </c>
      <c r="E667">
        <v>1.1609451775714299</v>
      </c>
      <c r="F667">
        <v>0.86506274189024501</v>
      </c>
      <c r="G667">
        <v>1.34203581006697</v>
      </c>
      <c r="H667">
        <v>-0.56572728199752897</v>
      </c>
      <c r="I667">
        <v>2.8876176371403899</v>
      </c>
      <c r="J667">
        <v>0.18411472404773399</v>
      </c>
    </row>
    <row r="668" spans="1:10" hidden="1" x14ac:dyDescent="0.2">
      <c r="A668" s="58" t="s">
        <v>206</v>
      </c>
      <c r="B668" t="s">
        <v>14</v>
      </c>
      <c r="C668">
        <v>0</v>
      </c>
      <c r="D668" t="s">
        <v>214</v>
      </c>
      <c r="E668">
        <v>0.98908253549999903</v>
      </c>
      <c r="F668">
        <v>0.85296336640159898</v>
      </c>
      <c r="G668">
        <v>1.1595838396584901</v>
      </c>
      <c r="H668">
        <v>-0.71343946951513304</v>
      </c>
      <c r="I668">
        <v>2.6916045405151299</v>
      </c>
      <c r="J668">
        <v>0.25033409220275799</v>
      </c>
    </row>
    <row r="669" spans="1:10" hidden="1" x14ac:dyDescent="0.2">
      <c r="A669" s="58" t="s">
        <v>206</v>
      </c>
      <c r="B669" t="s">
        <v>14</v>
      </c>
      <c r="C669">
        <v>0</v>
      </c>
      <c r="D669" t="s">
        <v>210</v>
      </c>
      <c r="E669">
        <v>0.75099979054999999</v>
      </c>
      <c r="F669">
        <v>0.80015056326442202</v>
      </c>
      <c r="G669">
        <v>0.93857309490116603</v>
      </c>
      <c r="H669">
        <v>-0.84610741820383295</v>
      </c>
      <c r="I669">
        <v>2.3481069993038299</v>
      </c>
      <c r="J669">
        <v>0.35132127438202498</v>
      </c>
    </row>
    <row r="670" spans="1:10" hidden="1" x14ac:dyDescent="0.2">
      <c r="A670" s="58" t="s">
        <v>206</v>
      </c>
      <c r="B670" t="s">
        <v>14</v>
      </c>
      <c r="C670">
        <v>0</v>
      </c>
      <c r="D670" t="s">
        <v>207</v>
      </c>
      <c r="E670">
        <v>0.27898935692592602</v>
      </c>
      <c r="F670">
        <v>0.79066495462192998</v>
      </c>
      <c r="G670">
        <v>0.35285408224439302</v>
      </c>
      <c r="H670">
        <v>-1.29918449773448</v>
      </c>
      <c r="I670">
        <v>1.8571632115863299</v>
      </c>
      <c r="J670">
        <v>0.72530552264694204</v>
      </c>
    </row>
    <row r="671" spans="1:10" hidden="1" x14ac:dyDescent="0.2">
      <c r="A671" s="58" t="s">
        <v>206</v>
      </c>
      <c r="B671" t="s">
        <v>14</v>
      </c>
      <c r="C671">
        <v>0</v>
      </c>
      <c r="D671" t="s">
        <v>219</v>
      </c>
      <c r="E671">
        <v>0.78949845650000094</v>
      </c>
      <c r="F671">
        <v>0.93437455300740102</v>
      </c>
      <c r="G671">
        <v>0.84494858508175497</v>
      </c>
      <c r="H671">
        <v>-1.0755209570914199</v>
      </c>
      <c r="I671">
        <v>2.6545178700914298</v>
      </c>
      <c r="J671">
        <v>0.40114677410133998</v>
      </c>
    </row>
    <row r="672" spans="1:10" hidden="1" x14ac:dyDescent="0.2">
      <c r="A672" s="58" t="s">
        <v>206</v>
      </c>
      <c r="B672" t="s">
        <v>14</v>
      </c>
      <c r="C672">
        <v>1</v>
      </c>
      <c r="D672" t="s">
        <v>215</v>
      </c>
      <c r="E672">
        <v>1.7279732483333301</v>
      </c>
      <c r="F672">
        <v>0.774122038584108</v>
      </c>
      <c r="G672">
        <v>2.2321716243782999</v>
      </c>
      <c r="H672">
        <v>0.136742608921464</v>
      </c>
      <c r="I672">
        <v>3.3192038877451999</v>
      </c>
      <c r="J672">
        <v>3.4433980654071897E-2</v>
      </c>
    </row>
    <row r="673" spans="1:10" hidden="1" x14ac:dyDescent="0.2">
      <c r="A673" s="58" t="s">
        <v>206</v>
      </c>
      <c r="B673" t="s">
        <v>14</v>
      </c>
      <c r="C673">
        <v>1</v>
      </c>
      <c r="D673" t="s">
        <v>211</v>
      </c>
      <c r="E673">
        <v>-0.39842157766666603</v>
      </c>
      <c r="F673">
        <v>0.61199720721463302</v>
      </c>
      <c r="G673">
        <v>-0.65101862062409199</v>
      </c>
      <c r="H673">
        <v>-1.65639985346357</v>
      </c>
      <c r="I673">
        <v>0.85955669813023305</v>
      </c>
      <c r="J673">
        <v>0.52074716353344197</v>
      </c>
    </row>
    <row r="674" spans="1:10" hidden="1" x14ac:dyDescent="0.2">
      <c r="A674" s="58" t="s">
        <v>206</v>
      </c>
      <c r="B674" t="s">
        <v>14</v>
      </c>
      <c r="C674">
        <v>1</v>
      </c>
      <c r="D674" t="s">
        <v>214</v>
      </c>
      <c r="E674">
        <v>-0.69140295386666595</v>
      </c>
      <c r="F674">
        <v>0.48959776577170599</v>
      </c>
      <c r="G674">
        <v>-1.4121856801713</v>
      </c>
      <c r="H674">
        <v>-1.6977855745041901</v>
      </c>
      <c r="I674">
        <v>0.31497966677085398</v>
      </c>
      <c r="J674">
        <v>0.16975311324959899</v>
      </c>
    </row>
    <row r="675" spans="1:10" hidden="1" x14ac:dyDescent="0.2">
      <c r="A675" s="58" t="s">
        <v>206</v>
      </c>
      <c r="B675" t="s">
        <v>14</v>
      </c>
      <c r="C675">
        <v>1</v>
      </c>
      <c r="D675" t="s">
        <v>210</v>
      </c>
      <c r="E675">
        <v>-0.29050855111111101</v>
      </c>
      <c r="F675">
        <v>0.44693956736215701</v>
      </c>
      <c r="G675">
        <v>-0.64999514996109298</v>
      </c>
      <c r="H675">
        <v>-1.20920598911833</v>
      </c>
      <c r="I675">
        <v>0.62818888689611097</v>
      </c>
      <c r="J675">
        <v>0.52139757285331101</v>
      </c>
    </row>
    <row r="676" spans="1:10" hidden="1" x14ac:dyDescent="0.2">
      <c r="A676" s="58" t="s">
        <v>206</v>
      </c>
      <c r="B676" t="s">
        <v>14</v>
      </c>
      <c r="C676">
        <v>1</v>
      </c>
      <c r="D676" t="s">
        <v>207</v>
      </c>
      <c r="E676">
        <v>-0.362664120888889</v>
      </c>
      <c r="F676">
        <v>0.44693956736215701</v>
      </c>
      <c r="G676">
        <v>-0.81143883283670104</v>
      </c>
      <c r="H676">
        <v>-1.28136155889611</v>
      </c>
      <c r="I676">
        <v>0.55603331711833404</v>
      </c>
      <c r="J676">
        <v>0.424480267249636</v>
      </c>
    </row>
    <row r="677" spans="1:10" hidden="1" x14ac:dyDescent="0.2">
      <c r="A677" s="58" t="s">
        <v>206</v>
      </c>
      <c r="B677" t="s">
        <v>14</v>
      </c>
      <c r="C677">
        <v>1</v>
      </c>
      <c r="D677" t="s">
        <v>219</v>
      </c>
      <c r="E677">
        <v>-0.87939951216666601</v>
      </c>
      <c r="F677">
        <v>0.51203359962697503</v>
      </c>
      <c r="G677">
        <v>-1.7174644648463</v>
      </c>
      <c r="H677">
        <v>-1.93189964977419</v>
      </c>
      <c r="I677">
        <v>0.173100625440858</v>
      </c>
      <c r="J677">
        <v>9.7784739294370898E-2</v>
      </c>
    </row>
    <row r="678" spans="1:10" hidden="1" x14ac:dyDescent="0.2">
      <c r="A678" s="58" t="s">
        <v>206</v>
      </c>
      <c r="B678" t="s">
        <v>7</v>
      </c>
      <c r="C678">
        <v>0</v>
      </c>
      <c r="D678" t="s">
        <v>215</v>
      </c>
      <c r="E678">
        <v>0.344898728833333</v>
      </c>
      <c r="F678">
        <v>0.70641476826449601</v>
      </c>
      <c r="G678">
        <v>0.48823827633257499</v>
      </c>
      <c r="H678">
        <v>-1.0651110500294401</v>
      </c>
      <c r="I678">
        <v>1.75490850769611</v>
      </c>
      <c r="J678">
        <v>0.62697519712532701</v>
      </c>
    </row>
    <row r="679" spans="1:10" hidden="1" x14ac:dyDescent="0.2">
      <c r="A679" s="58" t="s">
        <v>206</v>
      </c>
      <c r="B679" t="s">
        <v>7</v>
      </c>
      <c r="C679">
        <v>0</v>
      </c>
      <c r="D679" t="s">
        <v>211</v>
      </c>
      <c r="E679">
        <v>1.3392411942857201</v>
      </c>
      <c r="F679">
        <v>0.693685531630018</v>
      </c>
      <c r="G679">
        <v>1.9306171647241599</v>
      </c>
      <c r="H679">
        <v>-4.5360921914278797E-2</v>
      </c>
      <c r="I679">
        <v>2.72384331048571</v>
      </c>
      <c r="J679">
        <v>5.7763856749100902E-2</v>
      </c>
    </row>
    <row r="680" spans="1:10" hidden="1" x14ac:dyDescent="0.2">
      <c r="A680" s="58" t="s">
        <v>206</v>
      </c>
      <c r="B680" t="s">
        <v>7</v>
      </c>
      <c r="C680">
        <v>0</v>
      </c>
      <c r="D680" t="s">
        <v>214</v>
      </c>
      <c r="E680">
        <v>0.81078239875000002</v>
      </c>
      <c r="F680">
        <v>0.68398315825084199</v>
      </c>
      <c r="G680">
        <v>1.18538357117363</v>
      </c>
      <c r="H680">
        <v>-0.55445369913128695</v>
      </c>
      <c r="I680">
        <v>2.1760184966312899</v>
      </c>
      <c r="J680">
        <v>0.240053116527881</v>
      </c>
    </row>
    <row r="681" spans="1:10" hidden="1" x14ac:dyDescent="0.2">
      <c r="A681" s="58" t="s">
        <v>206</v>
      </c>
      <c r="B681" t="s">
        <v>7</v>
      </c>
      <c r="C681">
        <v>0</v>
      </c>
      <c r="D681" t="s">
        <v>210</v>
      </c>
      <c r="E681">
        <v>0.401689476750001</v>
      </c>
      <c r="F681">
        <v>0.64163307698271099</v>
      </c>
      <c r="G681">
        <v>0.62604234594474395</v>
      </c>
      <c r="H681">
        <v>-0.879015505126446</v>
      </c>
      <c r="I681">
        <v>1.6823944586264501</v>
      </c>
      <c r="J681">
        <v>0.53341418734923096</v>
      </c>
    </row>
    <row r="682" spans="1:10" hidden="1" x14ac:dyDescent="0.2">
      <c r="A682" s="58" t="s">
        <v>206</v>
      </c>
      <c r="B682" t="s">
        <v>7</v>
      </c>
      <c r="C682">
        <v>0</v>
      </c>
      <c r="D682" t="s">
        <v>207</v>
      </c>
      <c r="E682">
        <v>0.208637202444445</v>
      </c>
      <c r="F682">
        <v>0.63402665821634097</v>
      </c>
      <c r="G682">
        <v>0.32906692445927699</v>
      </c>
      <c r="H682">
        <v>-1.0568853040301101</v>
      </c>
      <c r="I682">
        <v>1.4741597089189999</v>
      </c>
      <c r="J682">
        <v>0.74313153611322003</v>
      </c>
    </row>
    <row r="683" spans="1:10" hidden="1" x14ac:dyDescent="0.2">
      <c r="A683" s="58" t="s">
        <v>206</v>
      </c>
      <c r="B683" t="s">
        <v>7</v>
      </c>
      <c r="C683">
        <v>0</v>
      </c>
      <c r="D683" t="s">
        <v>219</v>
      </c>
      <c r="E683">
        <v>0.43103706200000103</v>
      </c>
      <c r="F683">
        <v>0.74926600945522503</v>
      </c>
      <c r="G683">
        <v>0.57527908187560595</v>
      </c>
      <c r="H683">
        <v>-1.06450415225982</v>
      </c>
      <c r="I683">
        <v>1.92657827625983</v>
      </c>
      <c r="J683">
        <v>0.56702960112982903</v>
      </c>
    </row>
    <row r="684" spans="1:10" hidden="1" x14ac:dyDescent="0.2">
      <c r="A684" s="58" t="s">
        <v>206</v>
      </c>
      <c r="B684" t="s">
        <v>7</v>
      </c>
      <c r="C684">
        <v>1</v>
      </c>
      <c r="D684" t="s">
        <v>215</v>
      </c>
      <c r="E684">
        <v>1.16002008733333</v>
      </c>
      <c r="F684">
        <v>1.0277844466307</v>
      </c>
      <c r="G684">
        <v>1.1286608696367499</v>
      </c>
      <c r="H684">
        <v>-0.95262109929534</v>
      </c>
      <c r="I684">
        <v>3.2726612739620098</v>
      </c>
      <c r="J684">
        <v>0.26934791695736299</v>
      </c>
    </row>
    <row r="685" spans="1:10" hidden="1" x14ac:dyDescent="0.2">
      <c r="A685" s="58" t="s">
        <v>206</v>
      </c>
      <c r="B685" t="s">
        <v>7</v>
      </c>
      <c r="C685">
        <v>1</v>
      </c>
      <c r="D685" t="s">
        <v>211</v>
      </c>
      <c r="E685">
        <v>0.15246068033333299</v>
      </c>
      <c r="F685">
        <v>0.81253494876219401</v>
      </c>
      <c r="G685">
        <v>0.187635843314297</v>
      </c>
      <c r="H685">
        <v>-1.51772882677353</v>
      </c>
      <c r="I685">
        <v>1.8226501874401999</v>
      </c>
      <c r="J685">
        <v>0.85261879721798495</v>
      </c>
    </row>
    <row r="686" spans="1:10" hidden="1" x14ac:dyDescent="0.2">
      <c r="A686" s="58" t="s">
        <v>206</v>
      </c>
      <c r="B686" t="s">
        <v>7</v>
      </c>
      <c r="C686">
        <v>1</v>
      </c>
      <c r="D686" t="s">
        <v>214</v>
      </c>
      <c r="E686">
        <v>-0.41823434886666599</v>
      </c>
      <c r="F686">
        <v>0.65002795900975496</v>
      </c>
      <c r="G686">
        <v>-0.64340978425574102</v>
      </c>
      <c r="H686">
        <v>-1.7543859545521601</v>
      </c>
      <c r="I686">
        <v>0.91791725681882796</v>
      </c>
      <c r="J686">
        <v>0.52559309461419701</v>
      </c>
    </row>
    <row r="687" spans="1:10" hidden="1" x14ac:dyDescent="0.2">
      <c r="A687" s="58" t="s">
        <v>206</v>
      </c>
      <c r="B687" t="s">
        <v>7</v>
      </c>
      <c r="C687">
        <v>1</v>
      </c>
      <c r="D687" t="s">
        <v>210</v>
      </c>
      <c r="E687">
        <v>-0.341127884777778</v>
      </c>
      <c r="F687">
        <v>0.593391626931144</v>
      </c>
      <c r="G687">
        <v>-0.57487815684558297</v>
      </c>
      <c r="H687">
        <v>-1.56086184257893</v>
      </c>
      <c r="I687">
        <v>0.87860607302337701</v>
      </c>
      <c r="J687">
        <v>0.57031530888866599</v>
      </c>
    </row>
    <row r="688" spans="1:10" hidden="1" x14ac:dyDescent="0.2">
      <c r="A688" s="58" t="s">
        <v>206</v>
      </c>
      <c r="B688" t="s">
        <v>7</v>
      </c>
      <c r="C688">
        <v>1</v>
      </c>
      <c r="D688" t="s">
        <v>207</v>
      </c>
      <c r="E688">
        <v>0.47630739111111098</v>
      </c>
      <c r="F688">
        <v>0.593391626931144</v>
      </c>
      <c r="G688">
        <v>0.80268640387536305</v>
      </c>
      <c r="H688">
        <v>-0.74342656669004403</v>
      </c>
      <c r="I688">
        <v>1.6960413489122701</v>
      </c>
      <c r="J688">
        <v>0.42943276374451</v>
      </c>
    </row>
    <row r="689" spans="1:10" hidden="1" x14ac:dyDescent="0.2">
      <c r="A689" s="58" t="s">
        <v>206</v>
      </c>
      <c r="B689" t="s">
        <v>7</v>
      </c>
      <c r="C689">
        <v>1</v>
      </c>
      <c r="D689" t="s">
        <v>219</v>
      </c>
      <c r="E689">
        <v>-0.65325107566666696</v>
      </c>
      <c r="F689">
        <v>0.679815511791241</v>
      </c>
      <c r="G689">
        <v>-0.96092405121121804</v>
      </c>
      <c r="H689">
        <v>-2.05063187299963</v>
      </c>
      <c r="I689">
        <v>0.74412972166629998</v>
      </c>
      <c r="J689">
        <v>0.34544232959953902</v>
      </c>
    </row>
    <row r="690" spans="1:10" hidden="1" x14ac:dyDescent="0.2">
      <c r="A690" s="58" t="s">
        <v>206</v>
      </c>
      <c r="B690" t="s">
        <v>21</v>
      </c>
      <c r="C690">
        <v>0</v>
      </c>
      <c r="D690" t="s">
        <v>215</v>
      </c>
      <c r="E690">
        <v>0.39229562199999801</v>
      </c>
      <c r="F690">
        <v>0.98529088873010595</v>
      </c>
      <c r="G690">
        <v>0.39815208532538998</v>
      </c>
      <c r="H690">
        <v>-1.5743532230502999</v>
      </c>
      <c r="I690">
        <v>2.3589444670502999</v>
      </c>
      <c r="J690">
        <v>0.69178398390227003</v>
      </c>
    </row>
    <row r="691" spans="1:10" hidden="1" x14ac:dyDescent="0.2">
      <c r="A691" s="58" t="s">
        <v>206</v>
      </c>
      <c r="B691" t="s">
        <v>21</v>
      </c>
      <c r="C691">
        <v>0</v>
      </c>
      <c r="D691" t="s">
        <v>211</v>
      </c>
      <c r="E691">
        <v>0.96387297750000001</v>
      </c>
      <c r="F691">
        <v>0.96753644553343598</v>
      </c>
      <c r="G691">
        <v>0.99621361236535499</v>
      </c>
      <c r="H691">
        <v>-0.96733785060867905</v>
      </c>
      <c r="I691">
        <v>2.8950838056086798</v>
      </c>
      <c r="J691">
        <v>0.32273074556335501</v>
      </c>
    </row>
    <row r="692" spans="1:10" hidden="1" x14ac:dyDescent="0.2">
      <c r="A692" s="58" t="s">
        <v>206</v>
      </c>
      <c r="B692" t="s">
        <v>21</v>
      </c>
      <c r="C692">
        <v>0</v>
      </c>
      <c r="D692" t="s">
        <v>214</v>
      </c>
      <c r="E692">
        <v>3.9471329499998202E-2</v>
      </c>
      <c r="F692">
        <v>0.95400380080540204</v>
      </c>
      <c r="G692">
        <v>4.1374394385719597E-2</v>
      </c>
      <c r="H692">
        <v>-1.86472822667947</v>
      </c>
      <c r="I692">
        <v>1.94367088567947</v>
      </c>
      <c r="J692">
        <v>0.96712047545896196</v>
      </c>
    </row>
    <row r="693" spans="1:10" hidden="1" x14ac:dyDescent="0.2">
      <c r="A693" s="58" t="s">
        <v>206</v>
      </c>
      <c r="B693" t="s">
        <v>21</v>
      </c>
      <c r="C693">
        <v>0</v>
      </c>
      <c r="D693" t="s">
        <v>210</v>
      </c>
      <c r="E693">
        <v>0.65294936754999899</v>
      </c>
      <c r="F693">
        <v>0.89493489244582303</v>
      </c>
      <c r="G693">
        <v>0.72960544176069997</v>
      </c>
      <c r="H693">
        <v>-1.1333481540805901</v>
      </c>
      <c r="I693">
        <v>2.4392468891805899</v>
      </c>
      <c r="J693">
        <v>0.46817454919968199</v>
      </c>
    </row>
    <row r="694" spans="1:10" hidden="1" x14ac:dyDescent="0.2">
      <c r="A694" s="58" t="s">
        <v>206</v>
      </c>
      <c r="B694" t="s">
        <v>21</v>
      </c>
      <c r="C694">
        <v>0</v>
      </c>
      <c r="D694" t="s">
        <v>207</v>
      </c>
      <c r="E694">
        <v>-1.66919820555568E-2</v>
      </c>
      <c r="F694">
        <v>0.884325636463275</v>
      </c>
      <c r="G694">
        <v>-1.8875379574331701E-2</v>
      </c>
      <c r="H694">
        <v>-1.78181334011499</v>
      </c>
      <c r="I694">
        <v>1.74842937600388</v>
      </c>
      <c r="J694">
        <v>0.98499661889516998</v>
      </c>
    </row>
    <row r="695" spans="1:10" hidden="1" x14ac:dyDescent="0.2">
      <c r="A695" s="58" t="s">
        <v>206</v>
      </c>
      <c r="B695" t="s">
        <v>21</v>
      </c>
      <c r="C695">
        <v>0</v>
      </c>
      <c r="D695" t="s">
        <v>219</v>
      </c>
      <c r="E695">
        <v>-1.2833251000000601E-2</v>
      </c>
      <c r="F695">
        <v>1.0450588032935699</v>
      </c>
      <c r="G695">
        <v>-1.2279931961298E-2</v>
      </c>
      <c r="H695">
        <v>-2.0987793528216399</v>
      </c>
      <c r="I695">
        <v>2.0731128508216399</v>
      </c>
      <c r="J695">
        <v>0.99023877097649105</v>
      </c>
    </row>
    <row r="696" spans="1:10" hidden="1" x14ac:dyDescent="0.2">
      <c r="A696" s="58" t="s">
        <v>206</v>
      </c>
      <c r="B696" t="s">
        <v>21</v>
      </c>
      <c r="C696">
        <v>1</v>
      </c>
      <c r="D696" t="s">
        <v>215</v>
      </c>
      <c r="E696">
        <v>2.7010351333333502E-2</v>
      </c>
      <c r="F696">
        <v>1.1406852306334501</v>
      </c>
      <c r="G696">
        <v>2.3679057647072399E-2</v>
      </c>
      <c r="H696">
        <v>-2.3177017204588601</v>
      </c>
      <c r="I696">
        <v>2.3717224231255298</v>
      </c>
      <c r="J696">
        <v>0.98128941131079594</v>
      </c>
    </row>
    <row r="697" spans="1:10" hidden="1" x14ac:dyDescent="0.2">
      <c r="A697" s="58" t="s">
        <v>206</v>
      </c>
      <c r="B697" t="s">
        <v>21</v>
      </c>
      <c r="C697">
        <v>1</v>
      </c>
      <c r="D697" t="s">
        <v>211</v>
      </c>
      <c r="E697">
        <v>-0.60453393616666595</v>
      </c>
      <c r="F697">
        <v>0.90179085552904403</v>
      </c>
      <c r="G697">
        <v>-0.67037044394513201</v>
      </c>
      <c r="H697">
        <v>-2.45819158720556</v>
      </c>
      <c r="I697">
        <v>1.2491237148722301</v>
      </c>
      <c r="J697">
        <v>0.50853292462039201</v>
      </c>
    </row>
    <row r="698" spans="1:10" hidden="1" x14ac:dyDescent="0.2">
      <c r="A698" s="58" t="s">
        <v>206</v>
      </c>
      <c r="B698" t="s">
        <v>21</v>
      </c>
      <c r="C698">
        <v>1</v>
      </c>
      <c r="D698" t="s">
        <v>214</v>
      </c>
      <c r="E698">
        <v>-0.78093681466666698</v>
      </c>
      <c r="F698">
        <v>0.72143268442323605</v>
      </c>
      <c r="G698">
        <v>-1.0824805023784101</v>
      </c>
      <c r="H698">
        <v>-2.2638629354977802</v>
      </c>
      <c r="I698">
        <v>0.70198930616444799</v>
      </c>
      <c r="J698">
        <v>0.28897664718365301</v>
      </c>
    </row>
    <row r="699" spans="1:10" hidden="1" x14ac:dyDescent="0.2">
      <c r="A699" s="58" t="s">
        <v>206</v>
      </c>
      <c r="B699" t="s">
        <v>21</v>
      </c>
      <c r="C699">
        <v>1</v>
      </c>
      <c r="D699" t="s">
        <v>210</v>
      </c>
      <c r="E699">
        <v>-0.78303061555555498</v>
      </c>
      <c r="F699">
        <v>0.65857492496685299</v>
      </c>
      <c r="G699">
        <v>-1.18897726875187</v>
      </c>
      <c r="H699">
        <v>-2.1367507613769399</v>
      </c>
      <c r="I699">
        <v>0.57068953026583202</v>
      </c>
      <c r="J699">
        <v>0.245194708645052</v>
      </c>
    </row>
    <row r="700" spans="1:10" hidden="1" x14ac:dyDescent="0.2">
      <c r="A700" s="58" t="s">
        <v>206</v>
      </c>
      <c r="B700" t="s">
        <v>21</v>
      </c>
      <c r="C700">
        <v>1</v>
      </c>
      <c r="D700" t="s">
        <v>207</v>
      </c>
      <c r="E700">
        <v>0.13721454433333399</v>
      </c>
      <c r="F700">
        <v>0.65857492496685299</v>
      </c>
      <c r="G700">
        <v>0.20835069652893301</v>
      </c>
      <c r="H700">
        <v>-1.21650560148805</v>
      </c>
      <c r="I700">
        <v>1.49093469015472</v>
      </c>
      <c r="J700">
        <v>0.83657873182625797</v>
      </c>
    </row>
    <row r="701" spans="1:10" hidden="1" x14ac:dyDescent="0.2">
      <c r="A701" s="58" t="s">
        <v>206</v>
      </c>
      <c r="B701" t="s">
        <v>21</v>
      </c>
      <c r="C701">
        <v>1</v>
      </c>
      <c r="D701" t="s">
        <v>219</v>
      </c>
      <c r="E701">
        <v>-0.103020300916666</v>
      </c>
      <c r="F701">
        <v>0.75449236111511697</v>
      </c>
      <c r="G701">
        <v>-0.13654253671224101</v>
      </c>
      <c r="H701">
        <v>-1.6539015604199601</v>
      </c>
      <c r="I701">
        <v>1.44786095858663</v>
      </c>
      <c r="J701">
        <v>0.89244419268905295</v>
      </c>
    </row>
    <row r="702" spans="1:10" hidden="1" x14ac:dyDescent="0.2">
      <c r="A702" s="58" t="s">
        <v>206</v>
      </c>
      <c r="B702" t="s">
        <v>11</v>
      </c>
      <c r="C702">
        <v>0</v>
      </c>
      <c r="D702" t="s">
        <v>215</v>
      </c>
      <c r="E702">
        <v>-0.45055538349999902</v>
      </c>
      <c r="F702">
        <v>0.90488098617139501</v>
      </c>
      <c r="G702">
        <v>-0.49791673201834602</v>
      </c>
      <c r="H702">
        <v>-2.2567053912967499</v>
      </c>
      <c r="I702">
        <v>1.35559462429675</v>
      </c>
      <c r="J702">
        <v>0.62017315366031001</v>
      </c>
    </row>
    <row r="703" spans="1:10" hidden="1" x14ac:dyDescent="0.2">
      <c r="A703" s="58" t="s">
        <v>206</v>
      </c>
      <c r="B703" t="s">
        <v>11</v>
      </c>
      <c r="C703">
        <v>0</v>
      </c>
      <c r="D703" t="s">
        <v>211</v>
      </c>
      <c r="E703">
        <v>0.75593421064285804</v>
      </c>
      <c r="F703">
        <v>0.88857548872643999</v>
      </c>
      <c r="G703">
        <v>0.85072593182410206</v>
      </c>
      <c r="H703">
        <v>-1.0176698880372299</v>
      </c>
      <c r="I703">
        <v>2.5295383093229402</v>
      </c>
      <c r="J703">
        <v>0.39795177709210799</v>
      </c>
    </row>
    <row r="704" spans="1:10" hidden="1" x14ac:dyDescent="0.2">
      <c r="A704" s="58" t="s">
        <v>206</v>
      </c>
      <c r="B704" t="s">
        <v>11</v>
      </c>
      <c r="C704">
        <v>0</v>
      </c>
      <c r="D704" t="s">
        <v>214</v>
      </c>
      <c r="E704">
        <v>-0.69647730562500099</v>
      </c>
      <c r="F704">
        <v>0.87614724743538996</v>
      </c>
      <c r="G704">
        <v>-0.79493179675413095</v>
      </c>
      <c r="H704">
        <v>-2.4452745308623101</v>
      </c>
      <c r="I704">
        <v>1.0523199196123101</v>
      </c>
      <c r="J704">
        <v>0.42946020984441302</v>
      </c>
    </row>
    <row r="705" spans="1:10" hidden="1" x14ac:dyDescent="0.2">
      <c r="A705" s="58" t="s">
        <v>206</v>
      </c>
      <c r="B705" t="s">
        <v>11</v>
      </c>
      <c r="C705">
        <v>0</v>
      </c>
      <c r="D705" t="s">
        <v>210</v>
      </c>
      <c r="E705">
        <v>-0.25893297230000001</v>
      </c>
      <c r="F705">
        <v>0.82189897145937496</v>
      </c>
      <c r="G705">
        <v>-0.31504233645679702</v>
      </c>
      <c r="H705">
        <v>-1.8994501854977099</v>
      </c>
      <c r="I705">
        <v>1.3815842408977099</v>
      </c>
      <c r="J705">
        <v>0.75370861396447997</v>
      </c>
    </row>
    <row r="706" spans="1:10" hidden="1" x14ac:dyDescent="0.2">
      <c r="A706" s="58" t="s">
        <v>206</v>
      </c>
      <c r="B706" t="s">
        <v>11</v>
      </c>
      <c r="C706">
        <v>0</v>
      </c>
      <c r="D706" t="s">
        <v>207</v>
      </c>
      <c r="E706">
        <v>-0.26833855561111097</v>
      </c>
      <c r="F706">
        <v>0.81215554022922798</v>
      </c>
      <c r="G706">
        <v>-0.33040291215076101</v>
      </c>
      <c r="H706">
        <v>-1.88940779867658</v>
      </c>
      <c r="I706">
        <v>1.3527306874543601</v>
      </c>
      <c r="J706">
        <v>0.74212650447988504</v>
      </c>
    </row>
    <row r="707" spans="1:10" hidden="1" x14ac:dyDescent="0.2">
      <c r="A707" s="58" t="s">
        <v>206</v>
      </c>
      <c r="B707" t="s">
        <v>11</v>
      </c>
      <c r="C707">
        <v>0</v>
      </c>
      <c r="D707" t="s">
        <v>219</v>
      </c>
      <c r="E707">
        <v>-0.22635728625000101</v>
      </c>
      <c r="F707">
        <v>0.95977122223284905</v>
      </c>
      <c r="G707">
        <v>-0.235845044117279</v>
      </c>
      <c r="H707">
        <v>-2.1420686637798401</v>
      </c>
      <c r="I707">
        <v>1.6893540912798299</v>
      </c>
      <c r="J707">
        <v>0.81427236784177504</v>
      </c>
    </row>
    <row r="708" spans="1:10" hidden="1" x14ac:dyDescent="0.2">
      <c r="A708" s="58" t="s">
        <v>206</v>
      </c>
      <c r="B708" t="s">
        <v>11</v>
      </c>
      <c r="C708">
        <v>1</v>
      </c>
      <c r="D708" t="s">
        <v>215</v>
      </c>
      <c r="E708">
        <v>-1.32295603333327E-2</v>
      </c>
      <c r="F708">
        <v>0.96201656931211998</v>
      </c>
      <c r="G708">
        <v>-1.3751904858346001E-2</v>
      </c>
      <c r="H708">
        <v>-1.9906829390166201</v>
      </c>
      <c r="I708">
        <v>1.9642238183499501</v>
      </c>
      <c r="J708">
        <v>0.98913289596021703</v>
      </c>
    </row>
    <row r="709" spans="1:10" hidden="1" x14ac:dyDescent="0.2">
      <c r="A709" s="58" t="s">
        <v>206</v>
      </c>
      <c r="B709" t="s">
        <v>11</v>
      </c>
      <c r="C709">
        <v>1</v>
      </c>
      <c r="D709" t="s">
        <v>211</v>
      </c>
      <c r="E709">
        <v>-0.221478707333333</v>
      </c>
      <c r="F709">
        <v>0.76054087646188495</v>
      </c>
      <c r="G709">
        <v>-0.29121210205515102</v>
      </c>
      <c r="H709">
        <v>-1.78479286819199</v>
      </c>
      <c r="I709">
        <v>1.3418354535253201</v>
      </c>
      <c r="J709">
        <v>0.773199713028768</v>
      </c>
    </row>
    <row r="710" spans="1:10" hidden="1" x14ac:dyDescent="0.2">
      <c r="A710" s="58" t="s">
        <v>206</v>
      </c>
      <c r="B710" t="s">
        <v>11</v>
      </c>
      <c r="C710">
        <v>1</v>
      </c>
      <c r="D710" t="s">
        <v>214</v>
      </c>
      <c r="E710">
        <v>-0.456874856733333</v>
      </c>
      <c r="F710">
        <v>0.60843270116950798</v>
      </c>
      <c r="G710">
        <v>-0.75090450571631595</v>
      </c>
      <c r="H710">
        <v>-1.7075261854202599</v>
      </c>
      <c r="I710">
        <v>0.79377647195359302</v>
      </c>
      <c r="J710">
        <v>0.45945289432997999</v>
      </c>
    </row>
    <row r="711" spans="1:10" hidden="1" x14ac:dyDescent="0.2">
      <c r="A711" s="58" t="s">
        <v>206</v>
      </c>
      <c r="B711" t="s">
        <v>11</v>
      </c>
      <c r="C711">
        <v>1</v>
      </c>
      <c r="D711" t="s">
        <v>210</v>
      </c>
      <c r="E711">
        <v>-0.60145373877777697</v>
      </c>
      <c r="F711">
        <v>0.55542052525723196</v>
      </c>
      <c r="G711">
        <v>-1.08287992867967</v>
      </c>
      <c r="H711">
        <v>-1.74313697927051</v>
      </c>
      <c r="I711">
        <v>0.54022950171495099</v>
      </c>
      <c r="J711">
        <v>0.28880260361898502</v>
      </c>
    </row>
    <row r="712" spans="1:10" hidden="1" x14ac:dyDescent="0.2">
      <c r="A712" s="58" t="s">
        <v>206</v>
      </c>
      <c r="B712" t="s">
        <v>11</v>
      </c>
      <c r="C712">
        <v>1</v>
      </c>
      <c r="D712" t="s">
        <v>207</v>
      </c>
      <c r="E712">
        <v>-0.24658280722222201</v>
      </c>
      <c r="F712">
        <v>0.55542052525723296</v>
      </c>
      <c r="G712">
        <v>-0.44395695875304803</v>
      </c>
      <c r="H712">
        <v>-1.38826604771495</v>
      </c>
      <c r="I712">
        <v>0.89510043327050703</v>
      </c>
      <c r="J712">
        <v>0.66074673202710199</v>
      </c>
    </row>
    <row r="713" spans="1:10" hidden="1" x14ac:dyDescent="0.2">
      <c r="A713" s="58" t="s">
        <v>206</v>
      </c>
      <c r="B713" t="s">
        <v>11</v>
      </c>
      <c r="C713">
        <v>1</v>
      </c>
      <c r="D713" t="s">
        <v>219</v>
      </c>
      <c r="E713">
        <v>-0.77862885708333296</v>
      </c>
      <c r="F713">
        <v>0.63631414988085</v>
      </c>
      <c r="G713">
        <v>-1.2236547894292999</v>
      </c>
      <c r="H713">
        <v>-2.0865913243884302</v>
      </c>
      <c r="I713">
        <v>0.52933361022176795</v>
      </c>
      <c r="J713">
        <v>0.23205659539565801</v>
      </c>
    </row>
    <row r="714" spans="1:10" hidden="1" x14ac:dyDescent="0.2">
      <c r="A714" s="58" t="s">
        <v>206</v>
      </c>
      <c r="B714" t="s">
        <v>13</v>
      </c>
      <c r="C714">
        <v>0</v>
      </c>
      <c r="D714" t="s">
        <v>215</v>
      </c>
      <c r="E714">
        <v>0.24566543899999799</v>
      </c>
      <c r="F714">
        <v>0.88622655824601204</v>
      </c>
      <c r="G714">
        <v>0.27720387830196602</v>
      </c>
      <c r="H714">
        <v>-1.52325017481813</v>
      </c>
      <c r="I714">
        <v>2.0145810528181198</v>
      </c>
      <c r="J714">
        <v>0.78247704835940102</v>
      </c>
    </row>
    <row r="715" spans="1:10" hidden="1" x14ac:dyDescent="0.2">
      <c r="A715" s="58" t="s">
        <v>206</v>
      </c>
      <c r="B715" t="s">
        <v>13</v>
      </c>
      <c r="C715">
        <v>0</v>
      </c>
      <c r="D715" t="s">
        <v>211</v>
      </c>
      <c r="E715">
        <v>1.1454814550000001</v>
      </c>
      <c r="F715">
        <v>0.87025720415197505</v>
      </c>
      <c r="G715">
        <v>1.31625621659314</v>
      </c>
      <c r="H715">
        <v>-0.59155919463803996</v>
      </c>
      <c r="I715">
        <v>2.8825221046380398</v>
      </c>
      <c r="J715">
        <v>0.19257345944721499</v>
      </c>
    </row>
    <row r="716" spans="1:10" hidden="1" x14ac:dyDescent="0.2">
      <c r="A716" s="58" t="s">
        <v>206</v>
      </c>
      <c r="B716" t="s">
        <v>13</v>
      </c>
      <c r="C716">
        <v>0</v>
      </c>
      <c r="D716" t="s">
        <v>214</v>
      </c>
      <c r="E716">
        <v>0.14692967674999799</v>
      </c>
      <c r="F716">
        <v>0.85808517526338102</v>
      </c>
      <c r="G716">
        <v>0.171229711205416</v>
      </c>
      <c r="H716">
        <v>-1.56581550154097</v>
      </c>
      <c r="I716">
        <v>1.8596748550409701</v>
      </c>
      <c r="J716">
        <v>0.86455923608457896</v>
      </c>
    </row>
    <row r="717" spans="1:10" hidden="1" x14ac:dyDescent="0.2">
      <c r="A717" s="58" t="s">
        <v>206</v>
      </c>
      <c r="B717" t="s">
        <v>13</v>
      </c>
      <c r="C717">
        <v>0</v>
      </c>
      <c r="D717" t="s">
        <v>210</v>
      </c>
      <c r="E717">
        <v>0.19538175159999799</v>
      </c>
      <c r="F717">
        <v>0.80495524586524303</v>
      </c>
      <c r="G717">
        <v>0.242723744709538</v>
      </c>
      <c r="H717">
        <v>-1.4113156437635099</v>
      </c>
      <c r="I717">
        <v>1.80207914696351</v>
      </c>
      <c r="J717">
        <v>0.80896093341394404</v>
      </c>
    </row>
    <row r="718" spans="1:10" hidden="1" x14ac:dyDescent="0.2">
      <c r="A718" s="58" t="s">
        <v>206</v>
      </c>
      <c r="B718" t="s">
        <v>13</v>
      </c>
      <c r="C718">
        <v>0</v>
      </c>
      <c r="D718" t="s">
        <v>207</v>
      </c>
      <c r="E718">
        <v>0.13580079896296099</v>
      </c>
      <c r="F718">
        <v>0.79541267876906097</v>
      </c>
      <c r="G718">
        <v>0.17072999034051001</v>
      </c>
      <c r="H718">
        <v>-1.45184955275772</v>
      </c>
      <c r="I718">
        <v>1.7234511506836501</v>
      </c>
      <c r="J718">
        <v>0.864950622411503</v>
      </c>
    </row>
    <row r="719" spans="1:10" hidden="1" x14ac:dyDescent="0.2">
      <c r="A719" s="58" t="s">
        <v>206</v>
      </c>
      <c r="B719" t="s">
        <v>13</v>
      </c>
      <c r="C719">
        <v>0</v>
      </c>
      <c r="D719" t="s">
        <v>219</v>
      </c>
      <c r="E719">
        <v>0.13786031999999801</v>
      </c>
      <c r="F719">
        <v>0.93998521350505704</v>
      </c>
      <c r="G719">
        <v>0.14666222193638401</v>
      </c>
      <c r="H719">
        <v>-1.7383580188163501</v>
      </c>
      <c r="I719">
        <v>2.0140786588163402</v>
      </c>
      <c r="J719">
        <v>0.88383904863699503</v>
      </c>
    </row>
    <row r="720" spans="1:10" hidden="1" x14ac:dyDescent="0.2">
      <c r="A720" s="58" t="s">
        <v>206</v>
      </c>
      <c r="B720" t="s">
        <v>13</v>
      </c>
      <c r="C720">
        <v>1</v>
      </c>
      <c r="D720" t="s">
        <v>215</v>
      </c>
      <c r="E720">
        <v>0.85083310766666698</v>
      </c>
      <c r="F720">
        <v>1.01255517733603</v>
      </c>
      <c r="G720">
        <v>0.84028320304001003</v>
      </c>
      <c r="H720">
        <v>-1.2305038675977999</v>
      </c>
      <c r="I720">
        <v>2.9321700829311399</v>
      </c>
      <c r="J720">
        <v>0.40841070043565803</v>
      </c>
    </row>
    <row r="721" spans="1:10" hidden="1" x14ac:dyDescent="0.2">
      <c r="A721" s="58" t="s">
        <v>206</v>
      </c>
      <c r="B721" t="s">
        <v>13</v>
      </c>
      <c r="C721">
        <v>1</v>
      </c>
      <c r="D721" t="s">
        <v>211</v>
      </c>
      <c r="E721">
        <v>-0.70084212683333302</v>
      </c>
      <c r="F721">
        <v>0.80049515424439299</v>
      </c>
      <c r="G721">
        <v>-0.87551076745102296</v>
      </c>
      <c r="H721">
        <v>-2.34628348187365</v>
      </c>
      <c r="I721">
        <v>0.94459922820698305</v>
      </c>
      <c r="J721">
        <v>0.38931285470362298</v>
      </c>
    </row>
    <row r="722" spans="1:10" hidden="1" x14ac:dyDescent="0.2">
      <c r="A722" s="58" t="s">
        <v>206</v>
      </c>
      <c r="B722" t="s">
        <v>13</v>
      </c>
      <c r="C722">
        <v>1</v>
      </c>
      <c r="D722" t="s">
        <v>214</v>
      </c>
      <c r="E722">
        <v>-0.62729511333333299</v>
      </c>
      <c r="F722">
        <v>0.64039612339551399</v>
      </c>
      <c r="G722">
        <v>-0.97954233390308998</v>
      </c>
      <c r="H722">
        <v>-1.9436481973655899</v>
      </c>
      <c r="I722">
        <v>0.68905797069892005</v>
      </c>
      <c r="J722">
        <v>0.33633935625142802</v>
      </c>
    </row>
    <row r="723" spans="1:10" hidden="1" x14ac:dyDescent="0.2">
      <c r="A723" s="58" t="s">
        <v>206</v>
      </c>
      <c r="B723" t="s">
        <v>13</v>
      </c>
      <c r="C723">
        <v>1</v>
      </c>
      <c r="D723" t="s">
        <v>210</v>
      </c>
      <c r="E723">
        <v>4.3936538888888703E-2</v>
      </c>
      <c r="F723">
        <v>0.58459900420430799</v>
      </c>
      <c r="G723">
        <v>7.5156711819395497E-2</v>
      </c>
      <c r="H723">
        <v>-1.15772392405437</v>
      </c>
      <c r="I723">
        <v>1.2455970018321501</v>
      </c>
      <c r="J723">
        <v>0.94066532527049496</v>
      </c>
    </row>
    <row r="724" spans="1:10" hidden="1" x14ac:dyDescent="0.2">
      <c r="A724" s="58" t="s">
        <v>206</v>
      </c>
      <c r="B724" t="s">
        <v>13</v>
      </c>
      <c r="C724">
        <v>1</v>
      </c>
      <c r="D724" t="s">
        <v>207</v>
      </c>
      <c r="E724">
        <v>-0.39163844822222199</v>
      </c>
      <c r="F724">
        <v>0.58459900420430799</v>
      </c>
      <c r="G724">
        <v>-0.66992664271687796</v>
      </c>
      <c r="H724">
        <v>-1.5932989111654901</v>
      </c>
      <c r="I724">
        <v>0.81002201472104196</v>
      </c>
      <c r="J724">
        <v>0.50881124624525298</v>
      </c>
    </row>
    <row r="725" spans="1:10" hidden="1" x14ac:dyDescent="0.2">
      <c r="A725" s="58" t="s">
        <v>206</v>
      </c>
      <c r="B725" t="s">
        <v>13</v>
      </c>
      <c r="C725">
        <v>1</v>
      </c>
      <c r="D725" t="s">
        <v>219</v>
      </c>
      <c r="E725">
        <v>-0.73821762158333304</v>
      </c>
      <c r="F725">
        <v>0.66974229699051302</v>
      </c>
      <c r="G725">
        <v>-1.1022413022150701</v>
      </c>
      <c r="H725">
        <v>-2.1148926293516301</v>
      </c>
      <c r="I725">
        <v>0.63845738618496295</v>
      </c>
      <c r="J725">
        <v>0.28045573190719197</v>
      </c>
    </row>
    <row r="726" spans="1:10" hidden="1" x14ac:dyDescent="0.2">
      <c r="A726" s="58" t="s">
        <v>206</v>
      </c>
      <c r="B726" t="s">
        <v>17</v>
      </c>
      <c r="C726">
        <v>0</v>
      </c>
      <c r="D726" t="s">
        <v>215</v>
      </c>
      <c r="E726">
        <v>0.61875568999999697</v>
      </c>
      <c r="F726">
        <v>1.0853201432853601</v>
      </c>
      <c r="G726">
        <v>0.57011352256576397</v>
      </c>
      <c r="H726">
        <v>-1.5475523827895099</v>
      </c>
      <c r="I726">
        <v>2.7850637627895098</v>
      </c>
      <c r="J726">
        <v>0.57050760313805204</v>
      </c>
    </row>
    <row r="727" spans="1:10" hidden="1" x14ac:dyDescent="0.2">
      <c r="A727" s="58" t="s">
        <v>206</v>
      </c>
      <c r="B727" t="s">
        <v>17</v>
      </c>
      <c r="C727">
        <v>0</v>
      </c>
      <c r="D727" t="s">
        <v>211</v>
      </c>
      <c r="E727">
        <v>1.08239646435714</v>
      </c>
      <c r="F727">
        <v>1.06576322354261</v>
      </c>
      <c r="G727">
        <v>1.0156068819481701</v>
      </c>
      <c r="H727">
        <v>-1.04487583324683</v>
      </c>
      <c r="I727">
        <v>3.20966876196111</v>
      </c>
      <c r="J727">
        <v>0.31347018987813802</v>
      </c>
    </row>
    <row r="728" spans="1:10" hidden="1" x14ac:dyDescent="0.2">
      <c r="A728" s="58" t="s">
        <v>206</v>
      </c>
      <c r="B728" t="s">
        <v>17</v>
      </c>
      <c r="C728">
        <v>0</v>
      </c>
      <c r="D728" t="s">
        <v>214</v>
      </c>
      <c r="E728">
        <v>0.301532315749999</v>
      </c>
      <c r="F728">
        <v>1.0508567100619099</v>
      </c>
      <c r="G728">
        <v>0.28693951598047401</v>
      </c>
      <c r="H728">
        <v>-1.79598645641712</v>
      </c>
      <c r="I728">
        <v>2.3990510879171199</v>
      </c>
      <c r="J728">
        <v>0.77504415736093901</v>
      </c>
    </row>
    <row r="729" spans="1:10" hidden="1" x14ac:dyDescent="0.2">
      <c r="A729" s="58" t="s">
        <v>206</v>
      </c>
      <c r="B729" t="s">
        <v>17</v>
      </c>
      <c r="C729">
        <v>0</v>
      </c>
      <c r="D729" t="s">
        <v>210</v>
      </c>
      <c r="E729">
        <v>0.78637890314999803</v>
      </c>
      <c r="F729">
        <v>0.98579097483811995</v>
      </c>
      <c r="G729">
        <v>0.79771363627987302</v>
      </c>
      <c r="H729">
        <v>-1.18126811794963</v>
      </c>
      <c r="I729">
        <v>2.7540259242496301</v>
      </c>
      <c r="J729">
        <v>0.427854917642781</v>
      </c>
    </row>
    <row r="730" spans="1:10" hidden="1" x14ac:dyDescent="0.2">
      <c r="A730" s="58" t="s">
        <v>206</v>
      </c>
      <c r="B730" t="s">
        <v>17</v>
      </c>
      <c r="C730">
        <v>0</v>
      </c>
      <c r="D730" t="s">
        <v>207</v>
      </c>
      <c r="E730">
        <v>0.109209953574072</v>
      </c>
      <c r="F730">
        <v>0.97410464001575103</v>
      </c>
      <c r="G730">
        <v>0.112113164323194</v>
      </c>
      <c r="H730">
        <v>-1.83511104559217</v>
      </c>
      <c r="I730">
        <v>2.0535309527403198</v>
      </c>
      <c r="J730">
        <v>0.91106889528050194</v>
      </c>
    </row>
    <row r="731" spans="1:10" hidden="1" x14ac:dyDescent="0.2">
      <c r="A731" s="58" t="s">
        <v>206</v>
      </c>
      <c r="B731" t="s">
        <v>17</v>
      </c>
      <c r="C731">
        <v>0</v>
      </c>
      <c r="D731" t="s">
        <v>219</v>
      </c>
      <c r="E731">
        <v>4.0267934499998097E-2</v>
      </c>
      <c r="F731">
        <v>1.15115584961315</v>
      </c>
      <c r="G731">
        <v>3.4980436848346903E-2</v>
      </c>
      <c r="H731">
        <v>-2.2574487581129499</v>
      </c>
      <c r="I731">
        <v>2.3379846271129399</v>
      </c>
      <c r="J731">
        <v>0.97219934903250704</v>
      </c>
    </row>
    <row r="732" spans="1:10" hidden="1" x14ac:dyDescent="0.2">
      <c r="A732" s="58" t="s">
        <v>206</v>
      </c>
      <c r="B732" t="s">
        <v>17</v>
      </c>
      <c r="C732">
        <v>1</v>
      </c>
      <c r="D732" t="s">
        <v>215</v>
      </c>
      <c r="E732">
        <v>0.32393047733333302</v>
      </c>
      <c r="F732">
        <v>0.80144335152861601</v>
      </c>
      <c r="G732">
        <v>0.404183872404071</v>
      </c>
      <c r="H732">
        <v>-1.3234599251383401</v>
      </c>
      <c r="I732">
        <v>1.9713208798050099</v>
      </c>
      <c r="J732">
        <v>0.68938308137271098</v>
      </c>
    </row>
    <row r="733" spans="1:10" hidden="1" x14ac:dyDescent="0.2">
      <c r="A733" s="58" t="s">
        <v>206</v>
      </c>
      <c r="B733" t="s">
        <v>17</v>
      </c>
      <c r="C733">
        <v>1</v>
      </c>
      <c r="D733" t="s">
        <v>211</v>
      </c>
      <c r="E733">
        <v>-0.21939488666666601</v>
      </c>
      <c r="F733">
        <v>0.63359660160735398</v>
      </c>
      <c r="G733">
        <v>-0.34626903949624999</v>
      </c>
      <c r="H733">
        <v>-1.52177135349466</v>
      </c>
      <c r="I733">
        <v>1.0829815801613301</v>
      </c>
      <c r="J733">
        <v>0.73192711192679805</v>
      </c>
    </row>
    <row r="734" spans="1:10" hidden="1" x14ac:dyDescent="0.2">
      <c r="A734" s="58" t="s">
        <v>206</v>
      </c>
      <c r="B734" t="s">
        <v>17</v>
      </c>
      <c r="C734">
        <v>1</v>
      </c>
      <c r="D734" t="s">
        <v>214</v>
      </c>
      <c r="E734">
        <v>-0.30265448446666698</v>
      </c>
      <c r="F734">
        <v>0.50687728128588305</v>
      </c>
      <c r="G734">
        <v>-0.59709617227047695</v>
      </c>
      <c r="H734">
        <v>-1.3445556579290601</v>
      </c>
      <c r="I734">
        <v>0.73924668899572998</v>
      </c>
      <c r="J734">
        <v>0.55560778605989203</v>
      </c>
    </row>
    <row r="735" spans="1:10" hidden="1" x14ac:dyDescent="0.2">
      <c r="A735" s="58" t="s">
        <v>206</v>
      </c>
      <c r="B735" t="s">
        <v>17</v>
      </c>
      <c r="C735">
        <v>1</v>
      </c>
      <c r="D735" t="s">
        <v>210</v>
      </c>
      <c r="E735">
        <v>-0.37244854888888901</v>
      </c>
      <c r="F735">
        <v>0.46271353474528198</v>
      </c>
      <c r="G735">
        <v>-0.80492252964659305</v>
      </c>
      <c r="H735">
        <v>-1.3235698412163199</v>
      </c>
      <c r="I735">
        <v>0.57867274343854003</v>
      </c>
      <c r="J735">
        <v>0.42816409891542301</v>
      </c>
    </row>
    <row r="736" spans="1:10" hidden="1" x14ac:dyDescent="0.2">
      <c r="A736" s="58" t="s">
        <v>206</v>
      </c>
      <c r="B736" t="s">
        <v>17</v>
      </c>
      <c r="C736">
        <v>1</v>
      </c>
      <c r="D736" t="s">
        <v>207</v>
      </c>
      <c r="E736">
        <v>0.28997950577777798</v>
      </c>
      <c r="F736">
        <v>0.46271353474528198</v>
      </c>
      <c r="G736">
        <v>0.62669337290383798</v>
      </c>
      <c r="H736">
        <v>-0.66114178654965094</v>
      </c>
      <c r="I736">
        <v>1.24110079810521</v>
      </c>
      <c r="J736">
        <v>0.53632462887701404</v>
      </c>
    </row>
    <row r="737" spans="1:10" hidden="1" x14ac:dyDescent="0.2">
      <c r="A737" s="58" t="s">
        <v>206</v>
      </c>
      <c r="B737" t="s">
        <v>17</v>
      </c>
      <c r="C737">
        <v>1</v>
      </c>
      <c r="D737" t="s">
        <v>219</v>
      </c>
      <c r="E737">
        <v>7.7822719833333595E-2</v>
      </c>
      <c r="F737">
        <v>0.53010494951270903</v>
      </c>
      <c r="G737">
        <v>0.14680625016776599</v>
      </c>
      <c r="H737">
        <v>-1.0118236094603299</v>
      </c>
      <c r="I737">
        <v>1.1674690491269999</v>
      </c>
      <c r="J737">
        <v>0.884417375400252</v>
      </c>
    </row>
    <row r="738" spans="1:10" hidden="1" x14ac:dyDescent="0.2">
      <c r="A738" s="58" t="s">
        <v>206</v>
      </c>
      <c r="B738" t="s">
        <v>26</v>
      </c>
      <c r="C738">
        <v>0</v>
      </c>
      <c r="D738" t="s">
        <v>215</v>
      </c>
      <c r="E738">
        <v>0.7510954205</v>
      </c>
      <c r="F738">
        <v>1.0995911378790799</v>
      </c>
      <c r="G738">
        <v>0.68306791008586398</v>
      </c>
      <c r="H738">
        <v>-1.4436976767188301</v>
      </c>
      <c r="I738">
        <v>2.9458885177188301</v>
      </c>
      <c r="J738">
        <v>0.49691920044246402</v>
      </c>
    </row>
    <row r="739" spans="1:10" hidden="1" x14ac:dyDescent="0.2">
      <c r="A739" s="58" t="s">
        <v>206</v>
      </c>
      <c r="B739" t="s">
        <v>26</v>
      </c>
      <c r="C739">
        <v>0</v>
      </c>
      <c r="D739" t="s">
        <v>211</v>
      </c>
      <c r="E739">
        <v>0.89714771285714501</v>
      </c>
      <c r="F739">
        <v>1.0797770620357601</v>
      </c>
      <c r="G739">
        <v>0.83086383699030397</v>
      </c>
      <c r="H739">
        <v>-1.25809632345111</v>
      </c>
      <c r="I739">
        <v>3.0523917491654</v>
      </c>
      <c r="J739">
        <v>0.40900168248850799</v>
      </c>
    </row>
    <row r="740" spans="1:10" hidden="1" x14ac:dyDescent="0.2">
      <c r="A740" s="58" t="s">
        <v>206</v>
      </c>
      <c r="B740" t="s">
        <v>26</v>
      </c>
      <c r="C740">
        <v>0</v>
      </c>
      <c r="D740" t="s">
        <v>214</v>
      </c>
      <c r="E740">
        <v>0.43635095350000302</v>
      </c>
      <c r="F740">
        <v>1.0646745411607399</v>
      </c>
      <c r="G740">
        <v>0.40984445164273497</v>
      </c>
      <c r="H740">
        <v>-1.68874832497488</v>
      </c>
      <c r="I740">
        <v>2.56145023197488</v>
      </c>
      <c r="J740">
        <v>0.68322754375380701</v>
      </c>
    </row>
    <row r="741" spans="1:10" hidden="1" x14ac:dyDescent="0.2">
      <c r="A741" s="58" t="s">
        <v>206</v>
      </c>
      <c r="B741" t="s">
        <v>26</v>
      </c>
      <c r="C741">
        <v>0</v>
      </c>
      <c r="D741" t="s">
        <v>210</v>
      </c>
      <c r="E741">
        <v>0.75959037840000199</v>
      </c>
      <c r="F741">
        <v>0.99875324938862098</v>
      </c>
      <c r="G741">
        <v>0.76053858034001798</v>
      </c>
      <c r="H741">
        <v>-1.2339294509895999</v>
      </c>
      <c r="I741">
        <v>2.7531102077896001</v>
      </c>
      <c r="J741">
        <v>0.44960096861600402</v>
      </c>
    </row>
    <row r="742" spans="1:10" hidden="1" x14ac:dyDescent="0.2">
      <c r="A742" s="58" t="s">
        <v>206</v>
      </c>
      <c r="B742" t="s">
        <v>26</v>
      </c>
      <c r="C742">
        <v>0</v>
      </c>
      <c r="D742" t="s">
        <v>207</v>
      </c>
      <c r="E742">
        <v>0.273954147481483</v>
      </c>
      <c r="F742">
        <v>0.98691324965723604</v>
      </c>
      <c r="G742">
        <v>0.27758685738248001</v>
      </c>
      <c r="H742">
        <v>-1.69593294353261</v>
      </c>
      <c r="I742">
        <v>2.2438412384955799</v>
      </c>
      <c r="J742">
        <v>0.78218426531405005</v>
      </c>
    </row>
    <row r="743" spans="1:10" hidden="1" x14ac:dyDescent="0.2">
      <c r="A743" s="58" t="s">
        <v>206</v>
      </c>
      <c r="B743" t="s">
        <v>26</v>
      </c>
      <c r="C743">
        <v>0</v>
      </c>
      <c r="D743" t="s">
        <v>219</v>
      </c>
      <c r="E743">
        <v>0.37153864650000301</v>
      </c>
      <c r="F743">
        <v>1.1662925251903999</v>
      </c>
      <c r="G743">
        <v>0.31856385810185101</v>
      </c>
      <c r="H743">
        <v>-1.95639097701729</v>
      </c>
      <c r="I743">
        <v>2.6994682700173001</v>
      </c>
      <c r="J743">
        <v>0.751048212131737</v>
      </c>
    </row>
    <row r="744" spans="1:10" hidden="1" x14ac:dyDescent="0.2">
      <c r="A744" s="58" t="s">
        <v>206</v>
      </c>
      <c r="B744" t="s">
        <v>26</v>
      </c>
      <c r="C744">
        <v>1</v>
      </c>
      <c r="D744" t="s">
        <v>215</v>
      </c>
      <c r="E744">
        <v>-0.72196970366666502</v>
      </c>
      <c r="F744">
        <v>0.95729405557931502</v>
      </c>
      <c r="G744">
        <v>-0.75417756901222899</v>
      </c>
      <c r="H744">
        <v>-2.6897158163477699</v>
      </c>
      <c r="I744">
        <v>1.2457764090144401</v>
      </c>
      <c r="J744">
        <v>0.45751920700024501</v>
      </c>
    </row>
    <row r="745" spans="1:10" hidden="1" x14ac:dyDescent="0.2">
      <c r="A745" s="58" t="s">
        <v>206</v>
      </c>
      <c r="B745" t="s">
        <v>26</v>
      </c>
      <c r="C745">
        <v>1</v>
      </c>
      <c r="D745" t="s">
        <v>211</v>
      </c>
      <c r="E745">
        <v>-1.5745618781666699</v>
      </c>
      <c r="F745">
        <v>0.75680740154261406</v>
      </c>
      <c r="G745">
        <v>-2.08053181688922</v>
      </c>
      <c r="H745">
        <v>-3.1302017714203298</v>
      </c>
      <c r="I745">
        <v>-1.8921984913005299E-2</v>
      </c>
      <c r="J745">
        <v>4.7471034747059701E-2</v>
      </c>
    </row>
    <row r="746" spans="1:10" hidden="1" x14ac:dyDescent="0.2">
      <c r="A746" s="58" t="s">
        <v>206</v>
      </c>
      <c r="B746" t="s">
        <v>26</v>
      </c>
      <c r="C746">
        <v>1</v>
      </c>
      <c r="D746" t="s">
        <v>214</v>
      </c>
      <c r="E746">
        <v>-1.5027073280666701</v>
      </c>
      <c r="F746">
        <v>0.60544592123409102</v>
      </c>
      <c r="G746">
        <v>-2.4819843942522102</v>
      </c>
      <c r="H746">
        <v>-2.7472192426695901</v>
      </c>
      <c r="I746">
        <v>-0.25819541346373698</v>
      </c>
      <c r="J746">
        <v>1.9849252829583799E-2</v>
      </c>
    </row>
    <row r="747" spans="1:10" hidden="1" x14ac:dyDescent="0.2">
      <c r="A747" s="58" t="s">
        <v>206</v>
      </c>
      <c r="B747" t="s">
        <v>26</v>
      </c>
      <c r="C747">
        <v>1</v>
      </c>
      <c r="D747" t="s">
        <v>210</v>
      </c>
      <c r="E747">
        <v>-1.46705878122222</v>
      </c>
      <c r="F747">
        <v>0.55269398068234599</v>
      </c>
      <c r="G747">
        <v>-2.6543780690555301</v>
      </c>
      <c r="H747">
        <v>-2.6031375290755001</v>
      </c>
      <c r="I747">
        <v>-0.33098003336894399</v>
      </c>
      <c r="J747">
        <v>1.3378529460710199E-2</v>
      </c>
    </row>
    <row r="748" spans="1:10" hidden="1" x14ac:dyDescent="0.2">
      <c r="A748" s="58" t="s">
        <v>206</v>
      </c>
      <c r="B748" t="s">
        <v>26</v>
      </c>
      <c r="C748">
        <v>1</v>
      </c>
      <c r="D748" t="s">
        <v>207</v>
      </c>
      <c r="E748">
        <v>-1.308845252</v>
      </c>
      <c r="F748">
        <v>0.55269398068234599</v>
      </c>
      <c r="G748">
        <v>-2.36811924454853</v>
      </c>
      <c r="H748">
        <v>-2.4449239998532799</v>
      </c>
      <c r="I748">
        <v>-0.17276650414672101</v>
      </c>
      <c r="J748">
        <v>2.5597047940724999E-2</v>
      </c>
    </row>
    <row r="749" spans="1:10" hidden="1" x14ac:dyDescent="0.2">
      <c r="A749" s="58" t="s">
        <v>206</v>
      </c>
      <c r="B749" t="s">
        <v>26</v>
      </c>
      <c r="C749">
        <v>1</v>
      </c>
      <c r="D749" t="s">
        <v>219</v>
      </c>
      <c r="E749">
        <v>-1.07650621766667</v>
      </c>
      <c r="F749">
        <v>0.63319050065582805</v>
      </c>
      <c r="G749">
        <v>-1.7001300817868801</v>
      </c>
      <c r="H749">
        <v>-2.37804793203374</v>
      </c>
      <c r="I749">
        <v>0.22503549670040801</v>
      </c>
      <c r="J749">
        <v>0.10104047443455</v>
      </c>
    </row>
    <row r="750" spans="1:10" hidden="1" x14ac:dyDescent="0.2">
      <c r="A750" s="58" t="s">
        <v>206</v>
      </c>
      <c r="B750" t="s">
        <v>9</v>
      </c>
      <c r="C750">
        <v>0</v>
      </c>
      <c r="D750" t="s">
        <v>215</v>
      </c>
      <c r="E750">
        <v>0.86225347866666402</v>
      </c>
      <c r="F750">
        <v>0.72945545502396403</v>
      </c>
      <c r="G750">
        <v>1.18205090211895</v>
      </c>
      <c r="H750">
        <v>-0.59374570345049205</v>
      </c>
      <c r="I750">
        <v>2.3182526607838199</v>
      </c>
      <c r="J750">
        <v>0.241363781199221</v>
      </c>
    </row>
    <row r="751" spans="1:10" hidden="1" x14ac:dyDescent="0.2">
      <c r="A751" s="58" t="s">
        <v>206</v>
      </c>
      <c r="B751" t="s">
        <v>9</v>
      </c>
      <c r="C751">
        <v>0</v>
      </c>
      <c r="D751" t="s">
        <v>211</v>
      </c>
      <c r="E751">
        <v>1.7279479904285699</v>
      </c>
      <c r="F751">
        <v>0.71631103687409503</v>
      </c>
      <c r="G751">
        <v>2.4122872627638898</v>
      </c>
      <c r="H751">
        <v>0.29818517674735501</v>
      </c>
      <c r="I751">
        <v>3.1577108041097901</v>
      </c>
      <c r="J751">
        <v>1.8597531912045401E-2</v>
      </c>
    </row>
    <row r="752" spans="1:10" hidden="1" x14ac:dyDescent="0.2">
      <c r="A752" s="58" t="s">
        <v>206</v>
      </c>
      <c r="B752" t="s">
        <v>9</v>
      </c>
      <c r="C752">
        <v>0</v>
      </c>
      <c r="D752" t="s">
        <v>214</v>
      </c>
      <c r="E752">
        <v>1.5331407293749999</v>
      </c>
      <c r="F752">
        <v>0.70629220727699205</v>
      </c>
      <c r="G752">
        <v>2.1706890060217501</v>
      </c>
      <c r="H752">
        <v>0.123375583267156</v>
      </c>
      <c r="I752">
        <v>2.9429058754828401</v>
      </c>
      <c r="J752">
        <v>3.3502335988195402E-2</v>
      </c>
    </row>
    <row r="753" spans="1:10" hidden="1" x14ac:dyDescent="0.2">
      <c r="A753" s="58" t="s">
        <v>206</v>
      </c>
      <c r="B753" t="s">
        <v>9</v>
      </c>
      <c r="C753">
        <v>0</v>
      </c>
      <c r="D753" t="s">
        <v>210</v>
      </c>
      <c r="E753">
        <v>0.68272071734999895</v>
      </c>
      <c r="F753">
        <v>0.66256082001049599</v>
      </c>
      <c r="G753">
        <v>1.03042724038404</v>
      </c>
      <c r="H753">
        <v>-0.639756214440802</v>
      </c>
      <c r="I753">
        <v>2.0051976491408001</v>
      </c>
      <c r="J753">
        <v>0.306514965780606</v>
      </c>
    </row>
    <row r="754" spans="1:10" hidden="1" x14ac:dyDescent="0.2">
      <c r="A754" s="58" t="s">
        <v>206</v>
      </c>
      <c r="B754" t="s">
        <v>9</v>
      </c>
      <c r="C754">
        <v>0</v>
      </c>
      <c r="D754" t="s">
        <v>207</v>
      </c>
      <c r="E754">
        <v>0.59876236196296195</v>
      </c>
      <c r="F754">
        <v>0.65470630746122305</v>
      </c>
      <c r="G754">
        <v>0.91455108212536196</v>
      </c>
      <c r="H754">
        <v>-0.70803689716269502</v>
      </c>
      <c r="I754">
        <v>1.9055616210886199</v>
      </c>
      <c r="J754">
        <v>0.363707034336617</v>
      </c>
    </row>
    <row r="755" spans="1:10" hidden="1" x14ac:dyDescent="0.2">
      <c r="A755" s="58" t="s">
        <v>206</v>
      </c>
      <c r="B755" t="s">
        <v>9</v>
      </c>
      <c r="C755">
        <v>0</v>
      </c>
      <c r="D755" t="s">
        <v>219</v>
      </c>
      <c r="E755">
        <v>0.90673645950000004</v>
      </c>
      <c r="F755">
        <v>0.77370434823144696</v>
      </c>
      <c r="G755">
        <v>1.17194179090843</v>
      </c>
      <c r="H755">
        <v>-0.63758388311566605</v>
      </c>
      <c r="I755">
        <v>2.4510568021156698</v>
      </c>
      <c r="J755">
        <v>0.24537095823442101</v>
      </c>
    </row>
    <row r="756" spans="1:10" hidden="1" x14ac:dyDescent="0.2">
      <c r="A756" s="58" t="s">
        <v>206</v>
      </c>
      <c r="B756" t="s">
        <v>9</v>
      </c>
      <c r="C756">
        <v>1</v>
      </c>
      <c r="D756" t="s">
        <v>215</v>
      </c>
      <c r="E756">
        <v>1.4435914436666699</v>
      </c>
      <c r="F756">
        <v>0.62892504723598697</v>
      </c>
      <c r="G756">
        <v>2.2953314548545798</v>
      </c>
      <c r="H756">
        <v>0.15081749437323599</v>
      </c>
      <c r="I756">
        <v>2.7363653929601002</v>
      </c>
      <c r="J756">
        <v>3.00316050793514E-2</v>
      </c>
    </row>
    <row r="757" spans="1:10" hidden="1" x14ac:dyDescent="0.2">
      <c r="A757" s="58" t="s">
        <v>206</v>
      </c>
      <c r="B757" t="s">
        <v>9</v>
      </c>
      <c r="C757">
        <v>1</v>
      </c>
      <c r="D757" t="s">
        <v>211</v>
      </c>
      <c r="E757">
        <v>0.18876483416666601</v>
      </c>
      <c r="F757">
        <v>0.49720890669867601</v>
      </c>
      <c r="G757">
        <v>0.379648939557439</v>
      </c>
      <c r="H757">
        <v>-0.83326271070790003</v>
      </c>
      <c r="I757">
        <v>1.21079237904123</v>
      </c>
      <c r="J757">
        <v>0.70728940058703105</v>
      </c>
    </row>
    <row r="758" spans="1:10" hidden="1" x14ac:dyDescent="0.2">
      <c r="A758" s="58" t="s">
        <v>206</v>
      </c>
      <c r="B758" t="s">
        <v>9</v>
      </c>
      <c r="C758">
        <v>1</v>
      </c>
      <c r="D758" t="s">
        <v>214</v>
      </c>
      <c r="E758">
        <v>-0.137715414533333</v>
      </c>
      <c r="F758">
        <v>0.39776712535894099</v>
      </c>
      <c r="G758">
        <v>-0.34622120772062398</v>
      </c>
      <c r="H758">
        <v>-0.95533745043298701</v>
      </c>
      <c r="I758">
        <v>0.67990662136631996</v>
      </c>
      <c r="J758">
        <v>0.73196263493292801</v>
      </c>
    </row>
    <row r="759" spans="1:10" hidden="1" x14ac:dyDescent="0.2">
      <c r="A759" s="58" t="s">
        <v>206</v>
      </c>
      <c r="B759" t="s">
        <v>9</v>
      </c>
      <c r="C759">
        <v>1</v>
      </c>
      <c r="D759" t="s">
        <v>210</v>
      </c>
      <c r="E759">
        <v>-0.23789284466666599</v>
      </c>
      <c r="F759">
        <v>0.36311004532179503</v>
      </c>
      <c r="G759">
        <v>-0.65515357597953805</v>
      </c>
      <c r="H759">
        <v>-0.984276232292564</v>
      </c>
      <c r="I759">
        <v>0.50849054295923102</v>
      </c>
      <c r="J759">
        <v>0.51812393558300396</v>
      </c>
    </row>
    <row r="760" spans="1:10" hidden="1" x14ac:dyDescent="0.2">
      <c r="A760" s="58" t="s">
        <v>206</v>
      </c>
      <c r="B760" t="s">
        <v>9</v>
      </c>
      <c r="C760">
        <v>1</v>
      </c>
      <c r="D760" t="s">
        <v>207</v>
      </c>
      <c r="E760">
        <v>0.16212567588888799</v>
      </c>
      <c r="F760">
        <v>0.36311004532179503</v>
      </c>
      <c r="G760">
        <v>0.44649184999883301</v>
      </c>
      <c r="H760">
        <v>-0.58425771173701002</v>
      </c>
      <c r="I760">
        <v>0.908509063514786</v>
      </c>
      <c r="J760">
        <v>0.65893874856399204</v>
      </c>
    </row>
    <row r="761" spans="1:10" hidden="1" x14ac:dyDescent="0.2">
      <c r="A761" s="58" t="s">
        <v>206</v>
      </c>
      <c r="B761" t="s">
        <v>9</v>
      </c>
      <c r="C761">
        <v>1</v>
      </c>
      <c r="D761" t="s">
        <v>219</v>
      </c>
      <c r="E761">
        <v>-0.61371903958333296</v>
      </c>
      <c r="F761">
        <v>0.41599481707149299</v>
      </c>
      <c r="G761">
        <v>-1.47530453360879</v>
      </c>
      <c r="H761">
        <v>-1.4688086323966401</v>
      </c>
      <c r="I761">
        <v>0.241370553229978</v>
      </c>
      <c r="J761">
        <v>0.15213883665462899</v>
      </c>
    </row>
    <row r="762" spans="1:10" hidden="1" x14ac:dyDescent="0.2">
      <c r="A762" s="62" t="s">
        <v>212</v>
      </c>
      <c r="B762" t="s">
        <v>18</v>
      </c>
      <c r="C762">
        <v>0</v>
      </c>
      <c r="D762" t="s">
        <v>213</v>
      </c>
      <c r="E762">
        <v>3.6604242495195803E-2</v>
      </c>
      <c r="F762">
        <v>0.26005881367511902</v>
      </c>
      <c r="G762">
        <v>0.14075370866270301</v>
      </c>
      <c r="H762">
        <v>-0.48181352775546199</v>
      </c>
      <c r="I762">
        <v>0.55502201274585306</v>
      </c>
      <c r="J762">
        <v>0.88845756364780704</v>
      </c>
    </row>
    <row r="763" spans="1:10" hidden="1" x14ac:dyDescent="0.2">
      <c r="A763" s="62" t="s">
        <v>212</v>
      </c>
      <c r="B763" t="s">
        <v>18</v>
      </c>
      <c r="C763">
        <v>1</v>
      </c>
      <c r="D763" t="s">
        <v>213</v>
      </c>
      <c r="E763">
        <v>-0.15668482345490201</v>
      </c>
      <c r="F763">
        <v>0.25729773248253202</v>
      </c>
      <c r="G763">
        <v>-0.60896309478957</v>
      </c>
      <c r="H763">
        <v>-0.68215689557274195</v>
      </c>
      <c r="I763">
        <v>0.36878724866293799</v>
      </c>
      <c r="J763">
        <v>0.54713302289653198</v>
      </c>
    </row>
    <row r="764" spans="1:10" hidden="1" x14ac:dyDescent="0.2">
      <c r="A764" s="62" t="s">
        <v>212</v>
      </c>
      <c r="B764" t="s">
        <v>25</v>
      </c>
      <c r="C764">
        <v>0</v>
      </c>
      <c r="D764" t="s">
        <v>213</v>
      </c>
      <c r="E764">
        <v>0.17903208445528501</v>
      </c>
      <c r="F764">
        <v>0.26334846303508302</v>
      </c>
      <c r="G764">
        <v>0.67982961583274604</v>
      </c>
      <c r="H764">
        <v>-0.345943481941554</v>
      </c>
      <c r="I764">
        <v>0.70400765085212302</v>
      </c>
      <c r="J764">
        <v>0.49879235746221001</v>
      </c>
    </row>
    <row r="765" spans="1:10" hidden="1" x14ac:dyDescent="0.2">
      <c r="A765" s="62" t="s">
        <v>212</v>
      </c>
      <c r="B765" t="s">
        <v>25</v>
      </c>
      <c r="C765">
        <v>1</v>
      </c>
      <c r="D765" t="s">
        <v>213</v>
      </c>
      <c r="E765">
        <v>8.1952411690196E-2</v>
      </c>
      <c r="F765">
        <v>0.33123694301492601</v>
      </c>
      <c r="G765">
        <v>0.24741325935526201</v>
      </c>
      <c r="H765">
        <v>-0.59452367353861002</v>
      </c>
      <c r="I765">
        <v>0.75842849691900205</v>
      </c>
      <c r="J765">
        <v>0.80627389133433103</v>
      </c>
    </row>
    <row r="766" spans="1:10" hidden="1" x14ac:dyDescent="0.2">
      <c r="A766" s="62" t="s">
        <v>212</v>
      </c>
      <c r="B766" t="s">
        <v>14</v>
      </c>
      <c r="C766">
        <v>0</v>
      </c>
      <c r="D766" t="s">
        <v>213</v>
      </c>
      <c r="E766">
        <v>-9.44652140820397E-2</v>
      </c>
      <c r="F766">
        <v>0.25459950277136301</v>
      </c>
      <c r="G766">
        <v>-0.37103455840945498</v>
      </c>
      <c r="H766">
        <v>-0.60200004694698095</v>
      </c>
      <c r="I766">
        <v>0.41306961878290099</v>
      </c>
      <c r="J766">
        <v>0.71170129433037599</v>
      </c>
    </row>
    <row r="767" spans="1:10" hidden="1" x14ac:dyDescent="0.2">
      <c r="A767" s="62" t="s">
        <v>212</v>
      </c>
      <c r="B767" t="s">
        <v>14</v>
      </c>
      <c r="C767">
        <v>1</v>
      </c>
      <c r="D767" t="s">
        <v>213</v>
      </c>
      <c r="E767">
        <v>-7.2209287580392106E-2</v>
      </c>
      <c r="F767">
        <v>0.272828589034457</v>
      </c>
      <c r="G767">
        <v>-0.26466906505634702</v>
      </c>
      <c r="H767">
        <v>-0.62939960025699404</v>
      </c>
      <c r="I767">
        <v>0.484981025096209</v>
      </c>
      <c r="J767">
        <v>0.79307438499098604</v>
      </c>
    </row>
    <row r="768" spans="1:10" hidden="1" x14ac:dyDescent="0.2">
      <c r="A768" s="62" t="s">
        <v>212</v>
      </c>
      <c r="B768" t="s">
        <v>7</v>
      </c>
      <c r="C768">
        <v>0</v>
      </c>
      <c r="D768" t="s">
        <v>213</v>
      </c>
      <c r="E768">
        <v>-0.17824209786252801</v>
      </c>
      <c r="F768">
        <v>0.210334338738037</v>
      </c>
      <c r="G768">
        <v>-0.847422721995579</v>
      </c>
      <c r="H768">
        <v>-0.59753593895472201</v>
      </c>
      <c r="I768">
        <v>0.24105174322966599</v>
      </c>
      <c r="J768">
        <v>0.399567731067629</v>
      </c>
    </row>
    <row r="769" spans="1:10" hidden="1" x14ac:dyDescent="0.2">
      <c r="A769" s="62" t="s">
        <v>212</v>
      </c>
      <c r="B769" t="s">
        <v>7</v>
      </c>
      <c r="C769">
        <v>1</v>
      </c>
      <c r="D769" t="s">
        <v>213</v>
      </c>
      <c r="E769">
        <v>0.25473968769411798</v>
      </c>
      <c r="F769">
        <v>0.33581613911213498</v>
      </c>
      <c r="G769">
        <v>0.75856892514941099</v>
      </c>
      <c r="H769">
        <v>-0.43108836359602098</v>
      </c>
      <c r="I769">
        <v>0.94056773898425605</v>
      </c>
      <c r="J769">
        <v>0.45402920744560399</v>
      </c>
    </row>
    <row r="770" spans="1:10" hidden="1" x14ac:dyDescent="0.2">
      <c r="A770" s="62" t="s">
        <v>212</v>
      </c>
      <c r="B770" t="s">
        <v>21</v>
      </c>
      <c r="C770">
        <v>0</v>
      </c>
      <c r="D770" t="s">
        <v>213</v>
      </c>
      <c r="E770">
        <v>0.12330524191943799</v>
      </c>
      <c r="F770">
        <v>0.28474583228123002</v>
      </c>
      <c r="G770">
        <v>0.43303616046487198</v>
      </c>
      <c r="H770">
        <v>-0.44432520049200602</v>
      </c>
      <c r="I770">
        <v>0.69093568433088304</v>
      </c>
      <c r="J770">
        <v>0.66628299355734</v>
      </c>
    </row>
    <row r="771" spans="1:10" hidden="1" x14ac:dyDescent="0.2">
      <c r="A771" s="62" t="s">
        <v>212</v>
      </c>
      <c r="B771" t="s">
        <v>21</v>
      </c>
      <c r="C771">
        <v>1</v>
      </c>
      <c r="D771" t="s">
        <v>213</v>
      </c>
      <c r="E771">
        <v>0.59250782825882398</v>
      </c>
      <c r="F771">
        <v>0.341917724526418</v>
      </c>
      <c r="G771">
        <v>1.7328959154705801</v>
      </c>
      <c r="H771">
        <v>-0.105781322862674</v>
      </c>
      <c r="I771">
        <v>1.29079697938032</v>
      </c>
      <c r="J771">
        <v>9.3383942700990902E-2</v>
      </c>
    </row>
    <row r="772" spans="1:10" hidden="1" x14ac:dyDescent="0.2">
      <c r="A772" s="62" t="s">
        <v>212</v>
      </c>
      <c r="B772" t="s">
        <v>11</v>
      </c>
      <c r="C772">
        <v>0</v>
      </c>
      <c r="D772" t="s">
        <v>213</v>
      </c>
      <c r="E772">
        <v>0.20385896275166299</v>
      </c>
      <c r="F772">
        <v>0.26222894058171198</v>
      </c>
      <c r="G772">
        <v>0.77740832990986797</v>
      </c>
      <c r="H772">
        <v>-0.318884876422321</v>
      </c>
      <c r="I772">
        <v>0.72660280192564597</v>
      </c>
      <c r="J772">
        <v>0.43946481638620299</v>
      </c>
    </row>
    <row r="773" spans="1:10" hidden="1" x14ac:dyDescent="0.2">
      <c r="A773" s="62" t="s">
        <v>212</v>
      </c>
      <c r="B773" t="s">
        <v>11</v>
      </c>
      <c r="C773">
        <v>1</v>
      </c>
      <c r="D773" t="s">
        <v>213</v>
      </c>
      <c r="E773">
        <v>-0.16509653605097999</v>
      </c>
      <c r="F773">
        <v>0.28689899908032501</v>
      </c>
      <c r="G773">
        <v>-0.57545176727771397</v>
      </c>
      <c r="H773">
        <v>-0.75102245961312297</v>
      </c>
      <c r="I773">
        <v>0.420829387511162</v>
      </c>
      <c r="J773">
        <v>0.56927735954520797</v>
      </c>
    </row>
    <row r="774" spans="1:10" hidden="1" x14ac:dyDescent="0.2">
      <c r="A774" s="62" t="s">
        <v>212</v>
      </c>
      <c r="B774" t="s">
        <v>13</v>
      </c>
      <c r="C774">
        <v>0</v>
      </c>
      <c r="D774" t="s">
        <v>213</v>
      </c>
      <c r="E774">
        <v>0.37716122472062102</v>
      </c>
      <c r="F774">
        <v>0.250514155440963</v>
      </c>
      <c r="G774">
        <v>1.50554855495782</v>
      </c>
      <c r="H774">
        <v>-0.12222961708400799</v>
      </c>
      <c r="I774">
        <v>0.87655206652524997</v>
      </c>
      <c r="J774">
        <v>0.13655779221357001</v>
      </c>
    </row>
    <row r="775" spans="1:10" hidden="1" x14ac:dyDescent="0.2">
      <c r="A775" s="62" t="s">
        <v>212</v>
      </c>
      <c r="B775" t="s">
        <v>13</v>
      </c>
      <c r="C775">
        <v>1</v>
      </c>
      <c r="D775" t="s">
        <v>213</v>
      </c>
      <c r="E775">
        <v>-0.35739297284705901</v>
      </c>
      <c r="F775">
        <v>0.31203901029961201</v>
      </c>
      <c r="G775">
        <v>-1.1453470913905901</v>
      </c>
      <c r="H775">
        <v>-0.99466164887345498</v>
      </c>
      <c r="I775">
        <v>0.27987570317933702</v>
      </c>
      <c r="J775">
        <v>0.26112048098680801</v>
      </c>
    </row>
    <row r="776" spans="1:10" hidden="1" x14ac:dyDescent="0.2">
      <c r="A776" s="62" t="s">
        <v>212</v>
      </c>
      <c r="B776" t="s">
        <v>17</v>
      </c>
      <c r="C776">
        <v>0</v>
      </c>
      <c r="D776" t="s">
        <v>213</v>
      </c>
      <c r="E776">
        <v>0.22557059892461201</v>
      </c>
      <c r="F776">
        <v>0.31067996378555701</v>
      </c>
      <c r="G776">
        <v>0.72605454235313804</v>
      </c>
      <c r="H776">
        <v>-0.39375858977372602</v>
      </c>
      <c r="I776">
        <v>0.84489978762295004</v>
      </c>
      <c r="J776">
        <v>0.47015900166493901</v>
      </c>
    </row>
    <row r="777" spans="1:10" hidden="1" x14ac:dyDescent="0.2">
      <c r="A777" s="62" t="s">
        <v>212</v>
      </c>
      <c r="B777" t="s">
        <v>17</v>
      </c>
      <c r="C777">
        <v>1</v>
      </c>
      <c r="D777" t="s">
        <v>213</v>
      </c>
      <c r="E777">
        <v>0.44274208833333301</v>
      </c>
      <c r="F777">
        <v>0.235158870053673</v>
      </c>
      <c r="G777">
        <v>1.8827360763907399</v>
      </c>
      <c r="H777">
        <v>-3.7516394832205799E-2</v>
      </c>
      <c r="I777">
        <v>0.92300057149887305</v>
      </c>
      <c r="J777">
        <v>6.9466061179715599E-2</v>
      </c>
    </row>
    <row r="778" spans="1:10" hidden="1" x14ac:dyDescent="0.2">
      <c r="A778" s="62" t="s">
        <v>212</v>
      </c>
      <c r="B778" t="s">
        <v>26</v>
      </c>
      <c r="C778">
        <v>0</v>
      </c>
      <c r="D778" t="s">
        <v>213</v>
      </c>
      <c r="E778">
        <v>0.34419102038211402</v>
      </c>
      <c r="F778">
        <v>0.30707371303513498</v>
      </c>
      <c r="G778">
        <v>1.12087425843166</v>
      </c>
      <c r="H778">
        <v>-0.26794923883300897</v>
      </c>
      <c r="I778">
        <v>0.95633127959723796</v>
      </c>
      <c r="J778">
        <v>0.26606608388541197</v>
      </c>
    </row>
    <row r="779" spans="1:10" hidden="1" x14ac:dyDescent="0.2">
      <c r="A779" s="62" t="s">
        <v>212</v>
      </c>
      <c r="B779" t="s">
        <v>26</v>
      </c>
      <c r="C779">
        <v>1</v>
      </c>
      <c r="D779" t="s">
        <v>213</v>
      </c>
      <c r="E779">
        <v>-1.8137129494117599E-2</v>
      </c>
      <c r="F779">
        <v>0.31502190714846201</v>
      </c>
      <c r="G779">
        <v>-5.7574184786996503E-2</v>
      </c>
      <c r="H779">
        <v>-0.66149769359490695</v>
      </c>
      <c r="I779">
        <v>0.62522343460667196</v>
      </c>
      <c r="J779">
        <v>0.95446959197613801</v>
      </c>
    </row>
    <row r="780" spans="1:10" hidden="1" x14ac:dyDescent="0.2">
      <c r="A780" s="62" t="s">
        <v>212</v>
      </c>
      <c r="B780" t="s">
        <v>9</v>
      </c>
      <c r="C780">
        <v>0</v>
      </c>
      <c r="D780" t="s">
        <v>213</v>
      </c>
      <c r="E780">
        <v>-2.2709392589800498E-2</v>
      </c>
      <c r="F780">
        <v>0.224449589487214</v>
      </c>
      <c r="G780">
        <v>-0.101178142680872</v>
      </c>
      <c r="H780">
        <v>-0.470141471784774</v>
      </c>
      <c r="I780">
        <v>0.42472268660517298</v>
      </c>
      <c r="J780">
        <v>0.91969027733860498</v>
      </c>
    </row>
    <row r="781" spans="1:10" hidden="1" x14ac:dyDescent="0.2">
      <c r="A781" s="62" t="s">
        <v>212</v>
      </c>
      <c r="B781" t="s">
        <v>9</v>
      </c>
      <c r="C781">
        <v>1</v>
      </c>
      <c r="D781" t="s">
        <v>213</v>
      </c>
      <c r="E781">
        <v>0.156260102137255</v>
      </c>
      <c r="F781">
        <v>0.22028510063457499</v>
      </c>
      <c r="G781">
        <v>0.70935393127867796</v>
      </c>
      <c r="H781">
        <v>-0.29362209142228402</v>
      </c>
      <c r="I781">
        <v>0.60614229569679401</v>
      </c>
      <c r="J781">
        <v>0.48358186761508998</v>
      </c>
    </row>
    <row r="782" spans="1:10" hidden="1" x14ac:dyDescent="0.2">
      <c r="A782" s="63" t="s">
        <v>216</v>
      </c>
      <c r="B782" t="s">
        <v>18</v>
      </c>
      <c r="C782">
        <v>0</v>
      </c>
      <c r="D782" t="s">
        <v>217</v>
      </c>
      <c r="E782">
        <v>-6.2240432006001697E-2</v>
      </c>
      <c r="F782">
        <v>0.261935839091606</v>
      </c>
      <c r="G782">
        <v>-0.23761709058925201</v>
      </c>
      <c r="H782">
        <v>-0.58439998403812399</v>
      </c>
      <c r="I782">
        <v>0.45991912002612101</v>
      </c>
      <c r="J782">
        <v>0.81285296249439898</v>
      </c>
    </row>
    <row r="783" spans="1:10" hidden="1" x14ac:dyDescent="0.2">
      <c r="A783" s="63" t="s">
        <v>216</v>
      </c>
      <c r="B783" t="s">
        <v>18</v>
      </c>
      <c r="C783">
        <v>1</v>
      </c>
      <c r="D783" t="s">
        <v>217</v>
      </c>
      <c r="E783">
        <v>-9.4536031773076998E-2</v>
      </c>
      <c r="F783">
        <v>0.25790609246310198</v>
      </c>
      <c r="G783">
        <v>-0.36655214644299999</v>
      </c>
      <c r="H783">
        <v>-0.62053897525912904</v>
      </c>
      <c r="I783">
        <v>0.43146691171297502</v>
      </c>
      <c r="J783">
        <v>0.71644317622310205</v>
      </c>
    </row>
    <row r="784" spans="1:10" hidden="1" x14ac:dyDescent="0.2">
      <c r="A784" s="63" t="s">
        <v>216</v>
      </c>
      <c r="B784" t="s">
        <v>25</v>
      </c>
      <c r="C784">
        <v>0</v>
      </c>
      <c r="D784" t="s">
        <v>217</v>
      </c>
      <c r="E784">
        <v>-0.49487927466916798</v>
      </c>
      <c r="F784">
        <v>0.25969856909636702</v>
      </c>
      <c r="G784">
        <v>-1.90559107195362</v>
      </c>
      <c r="H784">
        <v>-1.012578910477</v>
      </c>
      <c r="I784">
        <v>2.2820361138660501E-2</v>
      </c>
      <c r="J784">
        <v>6.0696190047314399E-2</v>
      </c>
    </row>
    <row r="785" spans="1:10" hidden="1" x14ac:dyDescent="0.2">
      <c r="A785" s="63" t="s">
        <v>216</v>
      </c>
      <c r="B785" t="s">
        <v>25</v>
      </c>
      <c r="C785">
        <v>1</v>
      </c>
      <c r="D785" t="s">
        <v>217</v>
      </c>
      <c r="E785">
        <v>0.10819697648846199</v>
      </c>
      <c r="F785">
        <v>0.32826166137242302</v>
      </c>
      <c r="G785">
        <v>0.32960588829077098</v>
      </c>
      <c r="H785">
        <v>-0.56129709581701903</v>
      </c>
      <c r="I785">
        <v>0.77769104879394202</v>
      </c>
      <c r="J785">
        <v>0.74391462855037604</v>
      </c>
    </row>
    <row r="786" spans="1:10" hidden="1" x14ac:dyDescent="0.2">
      <c r="A786" s="63" t="s">
        <v>216</v>
      </c>
      <c r="B786" t="s">
        <v>14</v>
      </c>
      <c r="C786">
        <v>0</v>
      </c>
      <c r="D786" t="s">
        <v>217</v>
      </c>
      <c r="E786">
        <v>-0.46382483044936301</v>
      </c>
      <c r="F786">
        <v>0.25086111329425398</v>
      </c>
      <c r="G786">
        <v>-1.8489307663452299</v>
      </c>
      <c r="H786">
        <v>-0.96390732009369395</v>
      </c>
      <c r="I786">
        <v>3.6257659194968303E-2</v>
      </c>
      <c r="J786">
        <v>6.8573225800830598E-2</v>
      </c>
    </row>
    <row r="787" spans="1:10" hidden="1" x14ac:dyDescent="0.2">
      <c r="A787" s="63" t="s">
        <v>216</v>
      </c>
      <c r="B787" t="s">
        <v>14</v>
      </c>
      <c r="C787">
        <v>1</v>
      </c>
      <c r="D787" t="s">
        <v>217</v>
      </c>
      <c r="E787">
        <v>-0.26463654408076998</v>
      </c>
      <c r="F787">
        <v>0.26811094045880102</v>
      </c>
      <c r="G787">
        <v>-0.98704119879596797</v>
      </c>
      <c r="H787">
        <v>-0.81145241227248199</v>
      </c>
      <c r="I787">
        <v>0.28217932411094299</v>
      </c>
      <c r="J787">
        <v>0.33126422767254599</v>
      </c>
    </row>
    <row r="788" spans="1:10" hidden="1" x14ac:dyDescent="0.2">
      <c r="A788" s="63" t="s">
        <v>216</v>
      </c>
      <c r="B788" t="s">
        <v>7</v>
      </c>
      <c r="C788">
        <v>0</v>
      </c>
      <c r="D788" t="s">
        <v>217</v>
      </c>
      <c r="E788">
        <v>-0.36648300562340602</v>
      </c>
      <c r="F788">
        <v>0.20853481262022699</v>
      </c>
      <c r="G788">
        <v>-1.75741882623131</v>
      </c>
      <c r="H788">
        <v>-0.78218955696248904</v>
      </c>
      <c r="I788">
        <v>4.9223545715676498E-2</v>
      </c>
      <c r="J788">
        <v>8.3097170495933001E-2</v>
      </c>
    </row>
    <row r="789" spans="1:10" hidden="1" x14ac:dyDescent="0.2">
      <c r="A789" s="63" t="s">
        <v>216</v>
      </c>
      <c r="B789" t="s">
        <v>7</v>
      </c>
      <c r="C789">
        <v>1</v>
      </c>
      <c r="D789" t="s">
        <v>217</v>
      </c>
      <c r="E789">
        <v>0.31357000276153901</v>
      </c>
      <c r="F789">
        <v>0.331020767961337</v>
      </c>
      <c r="G789">
        <v>0.94728196267783404</v>
      </c>
      <c r="H789">
        <v>-0.36155130453207301</v>
      </c>
      <c r="I789">
        <v>0.98869131005514999</v>
      </c>
      <c r="J789">
        <v>0.35082136171815398</v>
      </c>
    </row>
    <row r="790" spans="1:10" hidden="1" x14ac:dyDescent="0.2">
      <c r="A790" s="63" t="s">
        <v>216</v>
      </c>
      <c r="B790" t="s">
        <v>21</v>
      </c>
      <c r="C790">
        <v>0</v>
      </c>
      <c r="D790" t="s">
        <v>217</v>
      </c>
      <c r="E790">
        <v>-0.53888344316954295</v>
      </c>
      <c r="F790">
        <v>0.28013883082247298</v>
      </c>
      <c r="G790">
        <v>-1.9236299430086401</v>
      </c>
      <c r="H790">
        <v>-1.0973299960214</v>
      </c>
      <c r="I790">
        <v>1.9563109682311799E-2</v>
      </c>
      <c r="J790">
        <v>5.8354819757860901E-2</v>
      </c>
    </row>
    <row r="791" spans="1:10" hidden="1" x14ac:dyDescent="0.2">
      <c r="A791" s="63" t="s">
        <v>216</v>
      </c>
      <c r="B791" t="s">
        <v>21</v>
      </c>
      <c r="C791">
        <v>1</v>
      </c>
      <c r="D791" t="s">
        <v>217</v>
      </c>
      <c r="E791">
        <v>0.66999698712692302</v>
      </c>
      <c r="F791">
        <v>0.33536563489304</v>
      </c>
      <c r="G791">
        <v>1.99781050118808</v>
      </c>
      <c r="H791">
        <v>-1.3985734696700501E-2</v>
      </c>
      <c r="I791">
        <v>1.3539797089505501</v>
      </c>
      <c r="J791">
        <v>5.45763022321199E-2</v>
      </c>
    </row>
    <row r="792" spans="1:10" hidden="1" x14ac:dyDescent="0.2">
      <c r="A792" s="63" t="s">
        <v>216</v>
      </c>
      <c r="B792" t="s">
        <v>11</v>
      </c>
      <c r="C792">
        <v>0</v>
      </c>
      <c r="D792" t="s">
        <v>217</v>
      </c>
      <c r="E792">
        <v>-7.3101368384846502E-2</v>
      </c>
      <c r="F792">
        <v>0.26515538299154101</v>
      </c>
      <c r="G792">
        <v>-0.27569256773179901</v>
      </c>
      <c r="H792">
        <v>-0.60167896388275799</v>
      </c>
      <c r="I792">
        <v>0.45547622711306501</v>
      </c>
      <c r="J792">
        <v>0.78357392115473001</v>
      </c>
    </row>
    <row r="793" spans="1:10" hidden="1" x14ac:dyDescent="0.2">
      <c r="A793" s="63" t="s">
        <v>216</v>
      </c>
      <c r="B793" t="s">
        <v>11</v>
      </c>
      <c r="C793">
        <v>1</v>
      </c>
      <c r="D793" t="s">
        <v>217</v>
      </c>
      <c r="E793">
        <v>-2.6070387192308401E-3</v>
      </c>
      <c r="F793">
        <v>0.28547124540834401</v>
      </c>
      <c r="G793">
        <v>-9.1324039151532803E-3</v>
      </c>
      <c r="H793">
        <v>-0.58482948228907705</v>
      </c>
      <c r="I793">
        <v>0.57961540485061502</v>
      </c>
      <c r="J793">
        <v>0.99277201615174104</v>
      </c>
    </row>
    <row r="794" spans="1:10" hidden="1" x14ac:dyDescent="0.2">
      <c r="A794" s="63" t="s">
        <v>216</v>
      </c>
      <c r="B794" t="s">
        <v>13</v>
      </c>
      <c r="C794">
        <v>0</v>
      </c>
      <c r="D794" t="s">
        <v>217</v>
      </c>
      <c r="E794">
        <v>-0.202897067201051</v>
      </c>
      <c r="F794">
        <v>0.25521072909417097</v>
      </c>
      <c r="G794">
        <v>-0.79501777970385801</v>
      </c>
      <c r="H794">
        <v>-0.71165035747149397</v>
      </c>
      <c r="I794">
        <v>0.30585622306939197</v>
      </c>
      <c r="J794">
        <v>0.42921615682848302</v>
      </c>
    </row>
    <row r="795" spans="1:10" hidden="1" x14ac:dyDescent="0.2">
      <c r="A795" s="63" t="s">
        <v>216</v>
      </c>
      <c r="B795" t="s">
        <v>13</v>
      </c>
      <c r="C795">
        <v>1</v>
      </c>
      <c r="D795" t="s">
        <v>217</v>
      </c>
      <c r="E795">
        <v>-0.33368330073846197</v>
      </c>
      <c r="F795">
        <v>0.31001965963287798</v>
      </c>
      <c r="G795">
        <v>-1.0763294854707099</v>
      </c>
      <c r="H795">
        <v>-0.96597256520695396</v>
      </c>
      <c r="I795">
        <v>0.29860596373003101</v>
      </c>
      <c r="J795">
        <v>0.29008540036717001</v>
      </c>
    </row>
    <row r="796" spans="1:10" hidden="1" x14ac:dyDescent="0.2">
      <c r="A796" s="63" t="s">
        <v>216</v>
      </c>
      <c r="B796" t="s">
        <v>17</v>
      </c>
      <c r="C796">
        <v>0</v>
      </c>
      <c r="D796" t="s">
        <v>217</v>
      </c>
      <c r="E796">
        <v>-0.58408453453188403</v>
      </c>
      <c r="F796">
        <v>0.30651145340890501</v>
      </c>
      <c r="G796">
        <v>-1.9055879577611701</v>
      </c>
      <c r="H796">
        <v>-1.1951039496671101</v>
      </c>
      <c r="I796">
        <v>2.6934880603346499E-2</v>
      </c>
      <c r="J796">
        <v>6.0696601019630599E-2</v>
      </c>
    </row>
    <row r="797" spans="1:10" hidden="1" x14ac:dyDescent="0.2">
      <c r="A797" s="63" t="s">
        <v>216</v>
      </c>
      <c r="B797" t="s">
        <v>17</v>
      </c>
      <c r="C797">
        <v>1</v>
      </c>
      <c r="D797" t="s">
        <v>217</v>
      </c>
      <c r="E797">
        <v>0.47370892763461597</v>
      </c>
      <c r="F797">
        <v>0.23350549097996701</v>
      </c>
      <c r="G797">
        <v>2.02868431764312</v>
      </c>
      <c r="H797">
        <v>-2.52866102642241E-3</v>
      </c>
      <c r="I797">
        <v>0.94994651629565396</v>
      </c>
      <c r="J797">
        <v>5.1154727362625697E-2</v>
      </c>
    </row>
    <row r="798" spans="1:10" hidden="1" x14ac:dyDescent="0.2">
      <c r="A798" s="63" t="s">
        <v>216</v>
      </c>
      <c r="B798" t="s">
        <v>26</v>
      </c>
      <c r="C798">
        <v>0</v>
      </c>
      <c r="D798" t="s">
        <v>217</v>
      </c>
      <c r="E798">
        <v>-0.39878504167667</v>
      </c>
      <c r="F798">
        <v>0.30849693350357499</v>
      </c>
      <c r="G798">
        <v>-1.29267100696172</v>
      </c>
      <c r="H798">
        <v>-1.01376243904296</v>
      </c>
      <c r="I798">
        <v>0.21619235568961701</v>
      </c>
      <c r="J798">
        <v>0.200257814568394</v>
      </c>
    </row>
    <row r="799" spans="1:10" hidden="1" x14ac:dyDescent="0.2">
      <c r="A799" s="63" t="s">
        <v>216</v>
      </c>
      <c r="B799" t="s">
        <v>26</v>
      </c>
      <c r="C799">
        <v>1</v>
      </c>
      <c r="D799" t="s">
        <v>217</v>
      </c>
      <c r="E799">
        <v>-7.9483617923077707E-3</v>
      </c>
      <c r="F799">
        <v>0.31302083025334299</v>
      </c>
      <c r="G799">
        <v>-2.5392437256890499E-2</v>
      </c>
      <c r="H799">
        <v>-0.64635855409616805</v>
      </c>
      <c r="I799">
        <v>0.63046183051155302</v>
      </c>
      <c r="J799">
        <v>0.97990469936556601</v>
      </c>
    </row>
    <row r="800" spans="1:10" hidden="1" x14ac:dyDescent="0.2">
      <c r="A800" s="63" t="s">
        <v>216</v>
      </c>
      <c r="B800" t="s">
        <v>9</v>
      </c>
      <c r="C800">
        <v>0</v>
      </c>
      <c r="D800" t="s">
        <v>217</v>
      </c>
      <c r="E800">
        <v>-0.36588734682970803</v>
      </c>
      <c r="F800">
        <v>0.22199411430421101</v>
      </c>
      <c r="G800">
        <v>-1.6481848988496699</v>
      </c>
      <c r="H800">
        <v>-0.80842452570852397</v>
      </c>
      <c r="I800">
        <v>7.6649832049107497E-2</v>
      </c>
      <c r="J800">
        <v>0.103672094724355</v>
      </c>
    </row>
    <row r="801" spans="1:11" hidden="1" x14ac:dyDescent="0.2">
      <c r="A801" s="63" t="s">
        <v>216</v>
      </c>
      <c r="B801" t="s">
        <v>9</v>
      </c>
      <c r="C801">
        <v>1</v>
      </c>
      <c r="D801" t="s">
        <v>217</v>
      </c>
      <c r="E801">
        <v>-2.6171196892307701E-2</v>
      </c>
      <c r="F801">
        <v>0.22247298486338801</v>
      </c>
      <c r="G801">
        <v>-0.117637639951558</v>
      </c>
      <c r="H801">
        <v>-0.47990784098113098</v>
      </c>
      <c r="I801">
        <v>0.42756544719651601</v>
      </c>
      <c r="J801">
        <v>0.90711368487783495</v>
      </c>
    </row>
    <row r="802" spans="1:11" hidden="1" x14ac:dyDescent="0.2">
      <c r="A802" s="89" t="s">
        <v>262</v>
      </c>
      <c r="B802" s="118" t="s">
        <v>18</v>
      </c>
      <c r="C802" s="43" t="s">
        <v>66</v>
      </c>
      <c r="D802" s="189" t="s">
        <v>262</v>
      </c>
      <c r="E802" s="43">
        <v>0.114233113253391</v>
      </c>
      <c r="F802" s="43">
        <v>4.5896418062569798E-2</v>
      </c>
      <c r="G802" s="43">
        <v>2.48893308182915</v>
      </c>
      <c r="H802" s="43">
        <v>2.32289945064444E-2</v>
      </c>
      <c r="I802" s="43">
        <v>0.205237232000337</v>
      </c>
      <c r="J802" s="43">
        <v>1.438332398049E-2</v>
      </c>
      <c r="K802" s="43" t="s">
        <v>61</v>
      </c>
    </row>
    <row r="803" spans="1:11" hidden="1" x14ac:dyDescent="0.2">
      <c r="A803" s="83" t="s">
        <v>262</v>
      </c>
      <c r="B803" s="15" t="s">
        <v>18</v>
      </c>
      <c r="C803" s="159" t="s">
        <v>64</v>
      </c>
      <c r="D803" t="s">
        <v>262</v>
      </c>
      <c r="E803">
        <v>4.5101502416778898E-2</v>
      </c>
      <c r="F803">
        <v>6.6180264768359406E-2</v>
      </c>
      <c r="G803">
        <v>0.681494741289428</v>
      </c>
      <c r="H803">
        <v>-8.6826444230981903E-2</v>
      </c>
      <c r="I803">
        <v>0.17702944906453999</v>
      </c>
      <c r="J803">
        <v>0.49774473685147103</v>
      </c>
    </row>
    <row r="804" spans="1:11" hidden="1" x14ac:dyDescent="0.2">
      <c r="A804" s="83" t="s">
        <v>262</v>
      </c>
      <c r="B804" s="15" t="s">
        <v>18</v>
      </c>
      <c r="C804" s="162" t="s">
        <v>65</v>
      </c>
      <c r="D804" s="10" t="s">
        <v>262</v>
      </c>
      <c r="E804" s="10">
        <v>0.20150827157177001</v>
      </c>
      <c r="F804" s="10">
        <v>4.9675490477765601E-2</v>
      </c>
      <c r="G804" s="10">
        <v>4.0564928425208802</v>
      </c>
      <c r="H804" s="10">
        <v>0.10019444078603</v>
      </c>
      <c r="I804" s="10">
        <v>0.30282210235751</v>
      </c>
      <c r="J804" s="10">
        <v>3.1214016105148202E-4</v>
      </c>
      <c r="K804" s="10" t="s">
        <v>242</v>
      </c>
    </row>
    <row r="805" spans="1:11" hidden="1" x14ac:dyDescent="0.2">
      <c r="A805" s="89" t="s">
        <v>262</v>
      </c>
      <c r="B805" s="119" t="s">
        <v>25</v>
      </c>
      <c r="C805" s="43" t="s">
        <v>66</v>
      </c>
      <c r="D805" s="43" t="s">
        <v>262</v>
      </c>
      <c r="E805" s="43">
        <v>0.114356196838753</v>
      </c>
      <c r="F805" s="43">
        <v>4.8090714088036501E-2</v>
      </c>
      <c r="G805" s="43">
        <v>2.3779267787417102</v>
      </c>
      <c r="H805" s="43">
        <v>1.9001194417283599E-2</v>
      </c>
      <c r="I805" s="43">
        <v>0.209711199260223</v>
      </c>
      <c r="J805" s="43">
        <v>1.9218921846554601E-2</v>
      </c>
      <c r="K805" s="43" t="s">
        <v>61</v>
      </c>
    </row>
    <row r="806" spans="1:11" hidden="1" x14ac:dyDescent="0.2">
      <c r="A806" s="83" t="s">
        <v>262</v>
      </c>
      <c r="B806" s="12" t="s">
        <v>25</v>
      </c>
      <c r="C806" s="159" t="s">
        <v>64</v>
      </c>
      <c r="D806" t="s">
        <v>262</v>
      </c>
      <c r="E806">
        <v>7.4417411659217794E-2</v>
      </c>
      <c r="F806">
        <v>6.6866691576325896E-2</v>
      </c>
      <c r="G806">
        <v>1.11292199307144</v>
      </c>
      <c r="H806">
        <v>-5.8878901821404102E-2</v>
      </c>
      <c r="I806">
        <v>0.20771372513983999</v>
      </c>
      <c r="J806">
        <v>0.26944385607969301</v>
      </c>
    </row>
    <row r="807" spans="1:11" hidden="1" x14ac:dyDescent="0.2">
      <c r="A807" s="83" t="s">
        <v>262</v>
      </c>
      <c r="B807" s="12" t="s">
        <v>25</v>
      </c>
      <c r="C807" s="160" t="s">
        <v>65</v>
      </c>
      <c r="D807" s="11" t="s">
        <v>262</v>
      </c>
      <c r="E807" s="11">
        <v>0.195517326270335</v>
      </c>
      <c r="F807" s="11">
        <v>6.9867114364570798E-2</v>
      </c>
      <c r="G807" s="11">
        <v>2.7984170814628699</v>
      </c>
      <c r="H807" s="11">
        <v>5.3022407062877301E-2</v>
      </c>
      <c r="I807" s="11">
        <v>0.33801224547779302</v>
      </c>
      <c r="J807" s="11">
        <v>8.75218970252537E-3</v>
      </c>
      <c r="K807" s="11" t="s">
        <v>61</v>
      </c>
    </row>
    <row r="808" spans="1:11" hidden="1" x14ac:dyDescent="0.2">
      <c r="A808" s="89" t="s">
        <v>262</v>
      </c>
      <c r="B808" s="120" t="s">
        <v>14</v>
      </c>
      <c r="C808" s="41" t="s">
        <v>66</v>
      </c>
      <c r="D808" s="41" t="s">
        <v>262</v>
      </c>
      <c r="E808" s="41">
        <v>9.1337463538254005E-2</v>
      </c>
      <c r="F808" s="41">
        <v>4.6078961128203998E-2</v>
      </c>
      <c r="G808" s="41">
        <v>1.98219450486587</v>
      </c>
      <c r="H808" s="116">
        <v>-2.8604387357231098E-5</v>
      </c>
      <c r="I808" s="41">
        <v>0.182703531463865</v>
      </c>
      <c r="J808" s="41">
        <v>5.00704664483883E-2</v>
      </c>
      <c r="K808" s="41" t="s">
        <v>200</v>
      </c>
    </row>
    <row r="809" spans="1:11" hidden="1" x14ac:dyDescent="0.2">
      <c r="A809" s="83" t="s">
        <v>262</v>
      </c>
      <c r="B809" s="121" t="s">
        <v>14</v>
      </c>
      <c r="C809" s="159" t="s">
        <v>64</v>
      </c>
      <c r="D809" t="s">
        <v>262</v>
      </c>
      <c r="E809">
        <v>1.3559064855904499E-2</v>
      </c>
      <c r="F809">
        <v>6.50331324518197E-2</v>
      </c>
      <c r="G809">
        <v>0.208494721762784</v>
      </c>
      <c r="H809">
        <v>-0.116082115312694</v>
      </c>
      <c r="I809">
        <v>0.14320024502450299</v>
      </c>
      <c r="J809">
        <v>0.83543140056436804</v>
      </c>
    </row>
    <row r="810" spans="1:11" hidden="1" x14ac:dyDescent="0.2">
      <c r="A810" s="83" t="s">
        <v>262</v>
      </c>
      <c r="B810" s="121" t="s">
        <v>14</v>
      </c>
      <c r="C810" s="160" t="s">
        <v>65</v>
      </c>
      <c r="D810" s="11" t="s">
        <v>262</v>
      </c>
      <c r="E810" s="11">
        <v>0.183666486361244</v>
      </c>
      <c r="F810" s="11">
        <v>5.5716401740938698E-2</v>
      </c>
      <c r="G810" s="11">
        <v>3.29645276116766</v>
      </c>
      <c r="H810" s="11">
        <v>7.0032135825775194E-2</v>
      </c>
      <c r="I810" s="11">
        <v>0.29730083689671299</v>
      </c>
      <c r="J810" s="11">
        <v>2.4597789387162902E-3</v>
      </c>
      <c r="K810" s="11" t="s">
        <v>61</v>
      </c>
    </row>
    <row r="811" spans="1:11" hidden="1" x14ac:dyDescent="0.2">
      <c r="A811" s="89" t="s">
        <v>262</v>
      </c>
      <c r="B811" s="122" t="s">
        <v>7</v>
      </c>
      <c r="C811" s="43" t="s">
        <v>66</v>
      </c>
      <c r="D811" s="43" t="s">
        <v>262</v>
      </c>
      <c r="E811" s="43">
        <v>0.12334069233690199</v>
      </c>
      <c r="F811" s="43">
        <v>4.0635025721160602E-2</v>
      </c>
      <c r="G811" s="43">
        <v>3.0353295007925301</v>
      </c>
      <c r="H811" s="43">
        <v>4.27689426859299E-2</v>
      </c>
      <c r="I811" s="43">
        <v>0.203912441987874</v>
      </c>
      <c r="J811" s="43">
        <v>3.0296090279921801E-3</v>
      </c>
      <c r="K811" s="43" t="s">
        <v>61</v>
      </c>
    </row>
    <row r="812" spans="1:11" hidden="1" x14ac:dyDescent="0.2">
      <c r="A812" s="83" t="s">
        <v>262</v>
      </c>
      <c r="B812" s="123" t="s">
        <v>7</v>
      </c>
      <c r="C812" s="161" t="s">
        <v>64</v>
      </c>
      <c r="D812" s="20" t="s">
        <v>262</v>
      </c>
      <c r="E812" s="20">
        <v>0.101574036038047</v>
      </c>
      <c r="F812" s="20">
        <v>5.2613761187750199E-2</v>
      </c>
      <c r="G812" s="20">
        <v>1.93056025163423</v>
      </c>
      <c r="H812" s="20">
        <v>-3.3095799947819699E-3</v>
      </c>
      <c r="I812" s="20">
        <v>0.20645765207087499</v>
      </c>
      <c r="J812" s="20">
        <v>5.7475886558224901E-2</v>
      </c>
      <c r="K812" s="20" t="s">
        <v>200</v>
      </c>
    </row>
    <row r="813" spans="1:11" hidden="1" x14ac:dyDescent="0.2">
      <c r="A813" s="83" t="s">
        <v>262</v>
      </c>
      <c r="B813" s="123" t="s">
        <v>7</v>
      </c>
      <c r="C813" s="160" t="s">
        <v>65</v>
      </c>
      <c r="D813" s="11" t="s">
        <v>262</v>
      </c>
      <c r="E813" s="11">
        <v>0.153501457456938</v>
      </c>
      <c r="F813" s="11">
        <v>7.4935415877412703E-2</v>
      </c>
      <c r="G813" s="11">
        <v>2.0484500640932199</v>
      </c>
      <c r="H813" s="11">
        <v>6.6966916364777395E-4</v>
      </c>
      <c r="I813" s="11">
        <v>0.30633324575022802</v>
      </c>
      <c r="J813" s="11">
        <v>4.9064396948991999E-2</v>
      </c>
      <c r="K813" s="11" t="s">
        <v>61</v>
      </c>
    </row>
    <row r="814" spans="1:11" hidden="1" x14ac:dyDescent="0.2">
      <c r="A814" s="89" t="s">
        <v>262</v>
      </c>
      <c r="B814" s="124" t="s">
        <v>21</v>
      </c>
      <c r="C814" s="42" t="s">
        <v>66</v>
      </c>
      <c r="D814" s="42" t="s">
        <v>262</v>
      </c>
      <c r="E814" s="42">
        <v>4.9783843957580301E-2</v>
      </c>
      <c r="F814" s="42">
        <v>5.3105932139003401E-2</v>
      </c>
      <c r="G814" s="42">
        <v>0.93744412257509002</v>
      </c>
      <c r="H814" s="42">
        <v>-5.5515409416758997E-2</v>
      </c>
      <c r="I814" s="42">
        <v>0.15508309733191999</v>
      </c>
      <c r="J814" s="42">
        <v>0.35068143492405102</v>
      </c>
      <c r="K814" s="42"/>
    </row>
    <row r="815" spans="1:11" hidden="1" x14ac:dyDescent="0.2">
      <c r="A815" s="83" t="s">
        <v>262</v>
      </c>
      <c r="B815" s="9" t="s">
        <v>21</v>
      </c>
      <c r="C815" s="160" t="s">
        <v>64</v>
      </c>
      <c r="D815" s="11" t="s">
        <v>262</v>
      </c>
      <c r="E815" s="11">
        <v>0.14308554930716599</v>
      </c>
      <c r="F815" s="11">
        <v>7.0800145620812396E-2</v>
      </c>
      <c r="G815" s="11">
        <v>2.0209781781169802</v>
      </c>
      <c r="H815" s="11">
        <v>1.9480384977214899E-3</v>
      </c>
      <c r="I815" s="11">
        <v>0.28422306011661103</v>
      </c>
      <c r="J815" s="11">
        <v>4.7001248131110097E-2</v>
      </c>
      <c r="K815" s="11" t="s">
        <v>61</v>
      </c>
    </row>
    <row r="816" spans="1:11" hidden="1" x14ac:dyDescent="0.2">
      <c r="A816" s="83" t="s">
        <v>262</v>
      </c>
      <c r="B816" s="9" t="s">
        <v>21</v>
      </c>
      <c r="C816" s="159" t="s">
        <v>65</v>
      </c>
      <c r="D816" t="s">
        <v>262</v>
      </c>
      <c r="E816">
        <v>-8.3338920086124396E-2</v>
      </c>
      <c r="F816">
        <v>8.3393925463769697E-2</v>
      </c>
      <c r="G816">
        <v>-0.99934041505614002</v>
      </c>
      <c r="H816">
        <v>-0.25342195241726201</v>
      </c>
      <c r="I816">
        <v>8.6744112245013702E-2</v>
      </c>
      <c r="J816">
        <v>0.32536695696064</v>
      </c>
    </row>
    <row r="817" spans="1:11" hidden="1" x14ac:dyDescent="0.2">
      <c r="A817" s="89" t="s">
        <v>262</v>
      </c>
      <c r="B817" s="125" t="s">
        <v>11</v>
      </c>
      <c r="C817" s="43" t="s">
        <v>66</v>
      </c>
      <c r="D817" s="43" t="s">
        <v>262</v>
      </c>
      <c r="E817" s="43">
        <v>0.15136128795015499</v>
      </c>
      <c r="F817" s="43">
        <v>4.6349840667132998E-2</v>
      </c>
      <c r="G817" s="43">
        <v>3.26562693143164</v>
      </c>
      <c r="H817" s="43">
        <v>5.9458115937396902E-2</v>
      </c>
      <c r="I817" s="43">
        <v>0.24326445996291299</v>
      </c>
      <c r="J817" s="43">
        <v>1.4754832656443399E-3</v>
      </c>
      <c r="K817" s="43" t="s">
        <v>61</v>
      </c>
    </row>
    <row r="818" spans="1:11" hidden="1" x14ac:dyDescent="0.2">
      <c r="A818" s="83" t="s">
        <v>262</v>
      </c>
      <c r="B818" s="13" t="s">
        <v>11</v>
      </c>
      <c r="C818" s="159" t="s">
        <v>64</v>
      </c>
      <c r="D818" t="s">
        <v>262</v>
      </c>
      <c r="E818">
        <v>0.107981699899056</v>
      </c>
      <c r="F818">
        <v>6.60029392702874E-2</v>
      </c>
      <c r="G818">
        <v>1.6360135032299501</v>
      </c>
      <c r="H818">
        <v>-2.3592754828857702E-2</v>
      </c>
      <c r="I818">
        <v>0.23955615462697</v>
      </c>
      <c r="J818">
        <v>0.10620113678844401</v>
      </c>
    </row>
    <row r="819" spans="1:11" hidden="1" x14ac:dyDescent="0.2">
      <c r="A819" s="83" t="s">
        <v>262</v>
      </c>
      <c r="B819" s="13" t="s">
        <v>11</v>
      </c>
      <c r="C819" s="160" t="s">
        <v>65</v>
      </c>
      <c r="D819" s="11" t="s">
        <v>262</v>
      </c>
      <c r="E819" s="11">
        <v>0.188764259119617</v>
      </c>
      <c r="F819" s="11">
        <v>5.8811320897607898E-2</v>
      </c>
      <c r="G819" s="11">
        <v>3.2096585527854602</v>
      </c>
      <c r="H819" s="11">
        <v>6.8817779348611899E-2</v>
      </c>
      <c r="I819" s="11">
        <v>0.308710738890623</v>
      </c>
      <c r="J819" s="11">
        <v>3.08635024424686E-3</v>
      </c>
      <c r="K819" s="11" t="s">
        <v>61</v>
      </c>
    </row>
    <row r="820" spans="1:11" hidden="1" x14ac:dyDescent="0.2">
      <c r="A820" s="89" t="s">
        <v>262</v>
      </c>
      <c r="B820" s="126" t="s">
        <v>13</v>
      </c>
      <c r="C820" s="43" t="s">
        <v>66</v>
      </c>
      <c r="D820" s="43" t="s">
        <v>262</v>
      </c>
      <c r="E820" s="43">
        <v>0.11272626575321</v>
      </c>
      <c r="F820" s="43">
        <v>4.63980069700239E-2</v>
      </c>
      <c r="G820" s="43">
        <v>2.42954973962649</v>
      </c>
      <c r="H820" s="43">
        <v>2.07275888593971E-2</v>
      </c>
      <c r="I820" s="43">
        <v>0.20472494264702201</v>
      </c>
      <c r="J820" s="43">
        <v>1.6814737403730899E-2</v>
      </c>
      <c r="K820" s="43" t="s">
        <v>61</v>
      </c>
    </row>
    <row r="821" spans="1:11" hidden="1" x14ac:dyDescent="0.2">
      <c r="A821" s="83" t="s">
        <v>262</v>
      </c>
      <c r="B821" s="14" t="s">
        <v>13</v>
      </c>
      <c r="C821" s="159" t="s">
        <v>64</v>
      </c>
      <c r="D821" t="s">
        <v>262</v>
      </c>
      <c r="E821">
        <v>4.7094598616547897E-2</v>
      </c>
      <c r="F821">
        <v>6.4709013108093294E-2</v>
      </c>
      <c r="G821">
        <v>0.72779040128271899</v>
      </c>
      <c r="H821">
        <v>-8.1900461449081502E-2</v>
      </c>
      <c r="I821">
        <v>0.17608965868217699</v>
      </c>
      <c r="J821">
        <v>0.46910210246030998</v>
      </c>
    </row>
    <row r="822" spans="1:11" hidden="1" x14ac:dyDescent="0.2">
      <c r="A822" s="83" t="s">
        <v>262</v>
      </c>
      <c r="B822" s="14" t="s">
        <v>13</v>
      </c>
      <c r="C822" s="160" t="s">
        <v>65</v>
      </c>
      <c r="D822" s="11" t="s">
        <v>262</v>
      </c>
      <c r="E822" s="11">
        <v>0.226032430770335</v>
      </c>
      <c r="F822" s="11">
        <v>6.3164911521776501E-2</v>
      </c>
      <c r="G822" s="11">
        <v>3.57844925805697</v>
      </c>
      <c r="H822" s="11">
        <v>9.7206744381232404E-2</v>
      </c>
      <c r="I822" s="11">
        <v>0.35485811715943699</v>
      </c>
      <c r="J822" s="11">
        <v>1.1604368515992999E-3</v>
      </c>
      <c r="K822" s="11" t="s">
        <v>61</v>
      </c>
    </row>
    <row r="823" spans="1:11" hidden="1" x14ac:dyDescent="0.2">
      <c r="A823" s="89" t="s">
        <v>262</v>
      </c>
      <c r="B823" s="128" t="s">
        <v>17</v>
      </c>
      <c r="C823" s="42" t="s">
        <v>66</v>
      </c>
      <c r="D823" s="42" t="s">
        <v>262</v>
      </c>
      <c r="E823" s="42">
        <v>7.3599483298909293E-2</v>
      </c>
      <c r="F823" s="42">
        <v>5.3690710177365E-2</v>
      </c>
      <c r="G823" s="42">
        <v>1.37080480134788</v>
      </c>
      <c r="H823" s="42">
        <v>-3.2859276901673298E-2</v>
      </c>
      <c r="I823" s="42">
        <v>0.18005824349949201</v>
      </c>
      <c r="J823" s="42">
        <v>0.17335893813952499</v>
      </c>
      <c r="K823" s="42"/>
    </row>
    <row r="824" spans="1:11" hidden="1" x14ac:dyDescent="0.2">
      <c r="A824" s="83" t="s">
        <v>262</v>
      </c>
      <c r="B824" s="127" t="s">
        <v>17</v>
      </c>
      <c r="C824" s="161" t="s">
        <v>64</v>
      </c>
      <c r="D824" s="20" t="s">
        <v>262</v>
      </c>
      <c r="E824" s="20">
        <v>0.153371568426315</v>
      </c>
      <c r="F824" s="20">
        <v>7.7516459508720104E-2</v>
      </c>
      <c r="G824" s="20">
        <v>1.9785677699722799</v>
      </c>
      <c r="H824" s="20">
        <v>-1.1546694209390901E-3</v>
      </c>
      <c r="I824" s="20">
        <v>0.307897806273568</v>
      </c>
      <c r="J824" s="20">
        <v>5.1690743375285203E-2</v>
      </c>
      <c r="K824" s="20" t="s">
        <v>200</v>
      </c>
    </row>
    <row r="825" spans="1:11" hidden="1" x14ac:dyDescent="0.2">
      <c r="A825" s="83" t="s">
        <v>262</v>
      </c>
      <c r="B825" s="127" t="s">
        <v>17</v>
      </c>
      <c r="C825" s="159" t="s">
        <v>65</v>
      </c>
      <c r="D825" t="s">
        <v>262</v>
      </c>
      <c r="E825">
        <v>-5.8676428633971302E-2</v>
      </c>
      <c r="F825">
        <v>5.8150137561264699E-2</v>
      </c>
      <c r="G825">
        <v>-1.00905055593638</v>
      </c>
      <c r="H825">
        <v>-0.17727441609997099</v>
      </c>
      <c r="I825">
        <v>5.9921558832028897E-2</v>
      </c>
      <c r="J825">
        <v>0.32076199830629099</v>
      </c>
    </row>
    <row r="826" spans="1:11" hidden="1" x14ac:dyDescent="0.2">
      <c r="A826" s="89" t="s">
        <v>262</v>
      </c>
      <c r="B826" s="129" t="s">
        <v>26</v>
      </c>
      <c r="C826" s="42" t="s">
        <v>66</v>
      </c>
      <c r="D826" s="42" t="s">
        <v>262</v>
      </c>
      <c r="E826" s="42">
        <v>6.5983933786090895E-2</v>
      </c>
      <c r="F826" s="42">
        <v>5.5138915875616999E-2</v>
      </c>
      <c r="G826" s="42">
        <v>1.19668536709967</v>
      </c>
      <c r="H826" s="42">
        <v>-4.3346350792582901E-2</v>
      </c>
      <c r="I826" s="42">
        <v>0.17531421836476499</v>
      </c>
      <c r="J826" s="42">
        <v>0.234124232431973</v>
      </c>
      <c r="K826" s="42"/>
    </row>
    <row r="827" spans="1:11" hidden="1" x14ac:dyDescent="0.2">
      <c r="A827" s="83" t="s">
        <v>262</v>
      </c>
      <c r="B827" s="53" t="s">
        <v>26</v>
      </c>
      <c r="C827" s="159" t="s">
        <v>64</v>
      </c>
      <c r="D827" t="s">
        <v>262</v>
      </c>
      <c r="E827">
        <v>0.10699063007946399</v>
      </c>
      <c r="F827">
        <v>7.80546180050255E-2</v>
      </c>
      <c r="G827">
        <v>1.3707149277519499</v>
      </c>
      <c r="H827">
        <v>-4.8608407123263697E-2</v>
      </c>
      <c r="I827">
        <v>0.26258966728219302</v>
      </c>
      <c r="J827">
        <v>0.17472193258253399</v>
      </c>
    </row>
    <row r="828" spans="1:11" hidden="1" x14ac:dyDescent="0.2">
      <c r="A828" s="83" t="s">
        <v>262</v>
      </c>
      <c r="B828" s="53" t="s">
        <v>26</v>
      </c>
      <c r="C828" s="159" t="s">
        <v>65</v>
      </c>
      <c r="D828" t="s">
        <v>262</v>
      </c>
      <c r="E828">
        <v>-6.5234519999999904E-3</v>
      </c>
      <c r="F828">
        <v>7.4426250211824599E-2</v>
      </c>
      <c r="G828">
        <v>-8.7649881344735101E-2</v>
      </c>
      <c r="H828">
        <v>-0.15831679007187999</v>
      </c>
      <c r="I828">
        <v>0.14526988607187999</v>
      </c>
      <c r="J828">
        <v>0.93071871155487296</v>
      </c>
    </row>
    <row r="829" spans="1:11" hidden="1" x14ac:dyDescent="0.2">
      <c r="A829" s="89" t="s">
        <v>262</v>
      </c>
      <c r="B829" s="130" t="s">
        <v>9</v>
      </c>
      <c r="C829" s="43" t="s">
        <v>66</v>
      </c>
      <c r="D829" s="43" t="s">
        <v>262</v>
      </c>
      <c r="E829" s="43">
        <v>8.8065903766249495E-2</v>
      </c>
      <c r="F829" s="43">
        <v>4.0580675712000497E-2</v>
      </c>
      <c r="G829" s="43">
        <v>2.1701438485462798</v>
      </c>
      <c r="H829" s="43">
        <v>7.60192014357118E-3</v>
      </c>
      <c r="I829" s="43">
        <v>0.16852988738892799</v>
      </c>
      <c r="J829" s="43">
        <v>3.2250008520392101E-2</v>
      </c>
      <c r="K829" s="43" t="s">
        <v>61</v>
      </c>
    </row>
    <row r="830" spans="1:11" hidden="1" x14ac:dyDescent="0.2">
      <c r="A830" s="83" t="s">
        <v>262</v>
      </c>
      <c r="B830" s="5" t="s">
        <v>9</v>
      </c>
      <c r="C830" s="159" t="s">
        <v>64</v>
      </c>
      <c r="D830" t="s">
        <v>262</v>
      </c>
      <c r="E830">
        <v>1.49364170251397E-2</v>
      </c>
      <c r="F830">
        <v>5.7271431437655701E-2</v>
      </c>
      <c r="G830">
        <v>0.260800483769977</v>
      </c>
      <c r="H830">
        <v>-9.9232094956400299E-2</v>
      </c>
      <c r="I830">
        <v>0.12910492900668</v>
      </c>
      <c r="J830">
        <v>0.79499085973072303</v>
      </c>
    </row>
    <row r="831" spans="1:11" hidden="1" x14ac:dyDescent="0.2">
      <c r="A831" s="83" t="s">
        <v>262</v>
      </c>
      <c r="B831" s="5" t="s">
        <v>9</v>
      </c>
      <c r="C831" s="160" t="s">
        <v>65</v>
      </c>
      <c r="D831" s="11" t="s">
        <v>262</v>
      </c>
      <c r="E831" s="11">
        <v>0.151325918552632</v>
      </c>
      <c r="F831" s="11">
        <v>4.5401227587303403E-2</v>
      </c>
      <c r="G831" s="11">
        <v>3.3330798877991201</v>
      </c>
      <c r="H831" s="11">
        <v>5.8729504405422801E-2</v>
      </c>
      <c r="I831" s="11">
        <v>0.24392233269984001</v>
      </c>
      <c r="J831" s="11">
        <v>2.2337182832147398E-3</v>
      </c>
      <c r="K831" s="11" t="s">
        <v>61</v>
      </c>
    </row>
    <row r="832" spans="1:11" hidden="1" x14ac:dyDescent="0.2">
      <c r="A832" s="171" t="s">
        <v>263</v>
      </c>
      <c r="B832" s="118" t="s">
        <v>18</v>
      </c>
      <c r="C832" s="43" t="s">
        <v>66</v>
      </c>
      <c r="D832" s="189" t="s">
        <v>274</v>
      </c>
      <c r="E832" s="43">
        <v>-0.41051195673585</v>
      </c>
      <c r="F832" s="43">
        <v>0.192687762630849</v>
      </c>
      <c r="G832" s="43">
        <v>-2.13045162355384</v>
      </c>
      <c r="H832" s="43">
        <v>-0.79257619555369196</v>
      </c>
      <c r="I832" s="43">
        <v>-2.8447717918007199E-2</v>
      </c>
      <c r="J832" s="43">
        <v>3.5469514838424303E-2</v>
      </c>
      <c r="K832" s="43" t="s">
        <v>61</v>
      </c>
    </row>
    <row r="833" spans="1:11" hidden="1" x14ac:dyDescent="0.2">
      <c r="A833" s="113" t="s">
        <v>263</v>
      </c>
      <c r="B833" s="15" t="s">
        <v>18</v>
      </c>
      <c r="C833" s="159" t="s">
        <v>64</v>
      </c>
      <c r="D833" t="s">
        <v>274</v>
      </c>
      <c r="E833">
        <v>-0.13192101205210699</v>
      </c>
      <c r="F833">
        <v>0.26437800911716802</v>
      </c>
      <c r="G833">
        <v>-0.498986328297986</v>
      </c>
      <c r="H833">
        <v>-0.65894894105378299</v>
      </c>
      <c r="I833">
        <v>0.39510691694956801</v>
      </c>
      <c r="J833">
        <v>0.61931020587933205</v>
      </c>
    </row>
    <row r="834" spans="1:11" hidden="1" x14ac:dyDescent="0.2">
      <c r="A834" s="113" t="s">
        <v>263</v>
      </c>
      <c r="B834" s="15" t="s">
        <v>18</v>
      </c>
      <c r="C834" s="162" t="s">
        <v>65</v>
      </c>
      <c r="D834" s="10" t="s">
        <v>274</v>
      </c>
      <c r="E834" s="10">
        <v>-0.86999775422222203</v>
      </c>
      <c r="F834" s="10">
        <v>0.23663480822580801</v>
      </c>
      <c r="G834" s="10">
        <v>-3.6765417596215499</v>
      </c>
      <c r="H834" s="10">
        <v>-1.3526176274841899</v>
      </c>
      <c r="I834" s="10">
        <v>-0.38737788096025</v>
      </c>
      <c r="J834" s="10">
        <v>8.8957467193841199E-4</v>
      </c>
      <c r="K834" s="10" t="s">
        <v>242</v>
      </c>
    </row>
    <row r="835" spans="1:11" hidden="1" x14ac:dyDescent="0.2">
      <c r="A835" s="171" t="s">
        <v>263</v>
      </c>
      <c r="B835" s="119" t="s">
        <v>25</v>
      </c>
      <c r="C835" s="43" t="s">
        <v>66</v>
      </c>
      <c r="D835" s="43" t="s">
        <v>274</v>
      </c>
      <c r="E835" s="43">
        <v>-0.46159325320650002</v>
      </c>
      <c r="F835" s="43">
        <v>0.200723453359611</v>
      </c>
      <c r="G835" s="43">
        <v>-2.2996478263031901</v>
      </c>
      <c r="H835" s="43">
        <v>-0.85959078233682396</v>
      </c>
      <c r="I835" s="43">
        <v>-6.3595724076175406E-2</v>
      </c>
      <c r="J835" s="43">
        <v>2.34466871743652E-2</v>
      </c>
      <c r="K835" s="43" t="s">
        <v>61</v>
      </c>
    </row>
    <row r="836" spans="1:11" hidden="1" x14ac:dyDescent="0.2">
      <c r="A836" s="113" t="s">
        <v>263</v>
      </c>
      <c r="B836" s="12" t="s">
        <v>25</v>
      </c>
      <c r="C836" s="159" t="s">
        <v>64</v>
      </c>
      <c r="D836" t="s">
        <v>274</v>
      </c>
      <c r="E836">
        <v>-0.31253237578544002</v>
      </c>
      <c r="F836">
        <v>0.26647370621438199</v>
      </c>
      <c r="G836">
        <v>-1.17284508188588</v>
      </c>
      <c r="H836">
        <v>-0.84373800059717097</v>
      </c>
      <c r="I836">
        <v>0.21867324902629101</v>
      </c>
      <c r="J836">
        <v>0.24472364858403201</v>
      </c>
    </row>
    <row r="837" spans="1:11" hidden="1" x14ac:dyDescent="0.2">
      <c r="A837" s="113" t="s">
        <v>263</v>
      </c>
      <c r="B837" s="12" t="s">
        <v>25</v>
      </c>
      <c r="C837" s="160" t="s">
        <v>65</v>
      </c>
      <c r="D837" s="11" t="s">
        <v>274</v>
      </c>
      <c r="E837" s="11">
        <v>-0.86123534130555501</v>
      </c>
      <c r="F837" s="11">
        <v>0.32593535981379601</v>
      </c>
      <c r="G837" s="11">
        <v>-2.6423501328532502</v>
      </c>
      <c r="H837" s="11">
        <v>-1.52598489030184</v>
      </c>
      <c r="I837" s="11">
        <v>-0.19648579230926699</v>
      </c>
      <c r="J837" s="11">
        <v>1.2790357849869901E-2</v>
      </c>
      <c r="K837" s="11" t="s">
        <v>61</v>
      </c>
    </row>
    <row r="838" spans="1:11" hidden="1" x14ac:dyDescent="0.2">
      <c r="A838" s="171" t="s">
        <v>263</v>
      </c>
      <c r="B838" s="120" t="s">
        <v>14</v>
      </c>
      <c r="C838" s="41" t="s">
        <v>66</v>
      </c>
      <c r="D838" s="41" t="s">
        <v>274</v>
      </c>
      <c r="E838" s="41">
        <v>-0.33468338341020298</v>
      </c>
      <c r="F838" s="41">
        <v>0.19282099807106601</v>
      </c>
      <c r="G838" s="41">
        <v>-1.73572062564915</v>
      </c>
      <c r="H838" s="41">
        <v>-0.71701180349391702</v>
      </c>
      <c r="I838" s="41">
        <v>4.76450366735112E-2</v>
      </c>
      <c r="J838" s="41">
        <v>8.5546832345276394E-2</v>
      </c>
      <c r="K838" s="41" t="s">
        <v>200</v>
      </c>
    </row>
    <row r="839" spans="1:11" hidden="1" x14ac:dyDescent="0.2">
      <c r="A839" s="113" t="s">
        <v>263</v>
      </c>
      <c r="B839" s="121" t="s">
        <v>14</v>
      </c>
      <c r="C839" s="159" t="s">
        <v>64</v>
      </c>
      <c r="D839" t="s">
        <v>274</v>
      </c>
      <c r="E839">
        <v>-6.4298657708812199E-3</v>
      </c>
      <c r="F839">
        <v>0.25948612395930198</v>
      </c>
      <c r="G839">
        <v>-2.4779227778244001E-2</v>
      </c>
      <c r="H839">
        <v>-0.523705999938056</v>
      </c>
      <c r="I839">
        <v>0.51084626839629399</v>
      </c>
      <c r="J839">
        <v>0.98029960871794497</v>
      </c>
    </row>
    <row r="840" spans="1:11" hidden="1" x14ac:dyDescent="0.2">
      <c r="A840" s="113" t="s">
        <v>263</v>
      </c>
      <c r="B840" s="121" t="s">
        <v>14</v>
      </c>
      <c r="C840" s="160" t="s">
        <v>65</v>
      </c>
      <c r="D840" s="11" t="s">
        <v>274</v>
      </c>
      <c r="E840" s="11">
        <v>-0.87243181108333301</v>
      </c>
      <c r="F840" s="11">
        <v>0.25434797887381</v>
      </c>
      <c r="G840" s="11">
        <v>-3.4300717267196199</v>
      </c>
      <c r="H840" s="11">
        <v>-1.3911779340602199</v>
      </c>
      <c r="I840" s="11">
        <v>-0.35368568810644802</v>
      </c>
      <c r="J840" s="11">
        <v>1.7274143140081201E-3</v>
      </c>
      <c r="K840" s="11" t="s">
        <v>61</v>
      </c>
    </row>
    <row r="841" spans="1:11" hidden="1" x14ac:dyDescent="0.2">
      <c r="A841" s="171" t="s">
        <v>263</v>
      </c>
      <c r="B841" s="122" t="s">
        <v>7</v>
      </c>
      <c r="C841" s="41" t="s">
        <v>66</v>
      </c>
      <c r="D841" s="41" t="s">
        <v>274</v>
      </c>
      <c r="E841" s="41">
        <v>-0.30851301306533901</v>
      </c>
      <c r="F841" s="41">
        <v>0.174010701052628</v>
      </c>
      <c r="G841" s="41">
        <v>-1.7729542562559599</v>
      </c>
      <c r="H841" s="41">
        <v>-0.65354408891627302</v>
      </c>
      <c r="I841" s="41">
        <v>3.6518062785594801E-2</v>
      </c>
      <c r="J841" s="41">
        <v>7.9136029901013497E-2</v>
      </c>
      <c r="K841" s="41" t="s">
        <v>200</v>
      </c>
    </row>
    <row r="842" spans="1:11" hidden="1" x14ac:dyDescent="0.2">
      <c r="A842" s="113" t="s">
        <v>263</v>
      </c>
      <c r="B842" s="123" t="s">
        <v>7</v>
      </c>
      <c r="C842" s="159" t="s">
        <v>64</v>
      </c>
      <c r="D842" t="s">
        <v>274</v>
      </c>
      <c r="E842">
        <v>-0.20664043150804601</v>
      </c>
      <c r="F842">
        <v>0.21385087380953</v>
      </c>
      <c r="G842">
        <v>-0.96628284854282698</v>
      </c>
      <c r="H842">
        <v>-0.63294435714615005</v>
      </c>
      <c r="I842">
        <v>0.21966349413005901</v>
      </c>
      <c r="J842">
        <v>0.337137199380172</v>
      </c>
    </row>
    <row r="843" spans="1:11" hidden="1" x14ac:dyDescent="0.2">
      <c r="A843" s="113" t="s">
        <v>263</v>
      </c>
      <c r="B843" s="123" t="s">
        <v>7</v>
      </c>
      <c r="C843" s="159" t="s">
        <v>65</v>
      </c>
      <c r="D843" t="s">
        <v>274</v>
      </c>
      <c r="E843">
        <v>-0.43266402072222199</v>
      </c>
      <c r="F843">
        <v>0.36010387626378199</v>
      </c>
      <c r="G843">
        <v>-1.2014978156061</v>
      </c>
      <c r="H843">
        <v>-1.16710071846167</v>
      </c>
      <c r="I843">
        <v>0.30177267701722998</v>
      </c>
      <c r="J843">
        <v>0.238657282256206</v>
      </c>
    </row>
    <row r="844" spans="1:11" hidden="1" x14ac:dyDescent="0.2">
      <c r="A844" s="171" t="s">
        <v>263</v>
      </c>
      <c r="B844" s="124" t="s">
        <v>21</v>
      </c>
      <c r="C844" s="42" t="s">
        <v>66</v>
      </c>
      <c r="D844" s="42" t="s">
        <v>274</v>
      </c>
      <c r="E844" s="42">
        <v>-9.8529224816911704E-2</v>
      </c>
      <c r="F844" s="42">
        <v>0.22200517008052301</v>
      </c>
      <c r="G844" s="42">
        <v>-0.44381500116044398</v>
      </c>
      <c r="H844" s="42">
        <v>-0.53872446691403897</v>
      </c>
      <c r="I844" s="42">
        <v>0.34166601728021601</v>
      </c>
      <c r="J844" s="42">
        <v>0.65808959158680302</v>
      </c>
      <c r="K844" s="42"/>
    </row>
    <row r="845" spans="1:11" hidden="1" x14ac:dyDescent="0.2">
      <c r="A845" s="113" t="s">
        <v>263</v>
      </c>
      <c r="B845" s="9" t="s">
        <v>21</v>
      </c>
      <c r="C845" s="159" t="s">
        <v>64</v>
      </c>
      <c r="D845" t="s">
        <v>274</v>
      </c>
      <c r="E845">
        <v>-0.42438007463371702</v>
      </c>
      <c r="F845">
        <v>0.28597205780313001</v>
      </c>
      <c r="G845">
        <v>-1.48399140074682</v>
      </c>
      <c r="H845">
        <v>-0.99445495294757902</v>
      </c>
      <c r="I845">
        <v>0.14569480368014601</v>
      </c>
      <c r="J845">
        <v>0.14217594546846399</v>
      </c>
    </row>
    <row r="846" spans="1:11" hidden="1" x14ac:dyDescent="0.2">
      <c r="A846" s="113" t="s">
        <v>263</v>
      </c>
      <c r="B846" s="9" t="s">
        <v>21</v>
      </c>
      <c r="C846" s="159" t="s">
        <v>65</v>
      </c>
      <c r="D846" t="s">
        <v>274</v>
      </c>
      <c r="E846">
        <v>0.54202068555555605</v>
      </c>
      <c r="F846">
        <v>0.37859471058732702</v>
      </c>
      <c r="G846">
        <v>1.43166470739832</v>
      </c>
      <c r="H846">
        <v>-0.230128317421853</v>
      </c>
      <c r="I846">
        <v>1.3141696885329699</v>
      </c>
      <c r="J846">
        <v>0.162245583711327</v>
      </c>
    </row>
    <row r="847" spans="1:11" hidden="1" x14ac:dyDescent="0.2">
      <c r="A847" s="171" t="s">
        <v>263</v>
      </c>
      <c r="B847" s="125" t="s">
        <v>11</v>
      </c>
      <c r="C847" s="41" t="s">
        <v>66</v>
      </c>
      <c r="D847" s="41" t="s">
        <v>274</v>
      </c>
      <c r="E847" s="41">
        <v>-0.36484050217575198</v>
      </c>
      <c r="F847" s="41">
        <v>0.19955638720192301</v>
      </c>
      <c r="G847" s="41">
        <v>-1.82825770345594</v>
      </c>
      <c r="H847" s="41">
        <v>-0.76052395470308298</v>
      </c>
      <c r="I847" s="41">
        <v>3.0842950351579902E-2</v>
      </c>
      <c r="J847" s="41">
        <v>7.0349939163853903E-2</v>
      </c>
      <c r="K847" s="41" t="s">
        <v>200</v>
      </c>
    </row>
    <row r="848" spans="1:11" hidden="1" x14ac:dyDescent="0.2">
      <c r="A848" s="113" t="s">
        <v>263</v>
      </c>
      <c r="B848" s="13" t="s">
        <v>11</v>
      </c>
      <c r="C848" s="159" t="s">
        <v>64</v>
      </c>
      <c r="D848" t="s">
        <v>274</v>
      </c>
      <c r="E848">
        <v>-6.3798761934866E-2</v>
      </c>
      <c r="F848">
        <v>0.26802083546484801</v>
      </c>
      <c r="G848">
        <v>-0.23803657586625701</v>
      </c>
      <c r="H848">
        <v>-0.59808853254031702</v>
      </c>
      <c r="I848">
        <v>0.47049100867058502</v>
      </c>
      <c r="J848">
        <v>0.81252884612209697</v>
      </c>
    </row>
    <row r="849" spans="1:11" hidden="1" x14ac:dyDescent="0.2">
      <c r="A849" s="113" t="s">
        <v>263</v>
      </c>
      <c r="B849" s="13" t="s">
        <v>11</v>
      </c>
      <c r="C849" s="160" t="s">
        <v>65</v>
      </c>
      <c r="D849" s="11" t="s">
        <v>274</v>
      </c>
      <c r="E849" s="11">
        <v>-0.81643947912500003</v>
      </c>
      <c r="F849" s="11">
        <v>0.27675318024399098</v>
      </c>
      <c r="G849" s="11">
        <v>-2.9500635851960602</v>
      </c>
      <c r="H849" s="11">
        <v>-1.38088131156559</v>
      </c>
      <c r="I849" s="11">
        <v>-0.25199764668440999</v>
      </c>
      <c r="J849" s="11">
        <v>5.9997717635806302E-3</v>
      </c>
      <c r="K849" s="11" t="s">
        <v>61</v>
      </c>
    </row>
    <row r="850" spans="1:11" hidden="1" x14ac:dyDescent="0.2">
      <c r="A850" s="171" t="s">
        <v>263</v>
      </c>
      <c r="B850" s="126" t="s">
        <v>13</v>
      </c>
      <c r="C850" s="43" t="s">
        <v>66</v>
      </c>
      <c r="D850" s="43" t="s">
        <v>274</v>
      </c>
      <c r="E850" s="43">
        <v>-0.42342406876939298</v>
      </c>
      <c r="F850" s="43">
        <v>0.19435350979545199</v>
      </c>
      <c r="G850" s="43">
        <v>-2.1786283623847398</v>
      </c>
      <c r="H850" s="43">
        <v>-0.80879117650749</v>
      </c>
      <c r="I850" s="43">
        <v>-3.80569610312953E-2</v>
      </c>
      <c r="J850" s="43">
        <v>3.15957425321087E-2</v>
      </c>
      <c r="K850" s="43" t="s">
        <v>61</v>
      </c>
    </row>
    <row r="851" spans="1:11" hidden="1" x14ac:dyDescent="0.2">
      <c r="A851" s="113" t="s">
        <v>263</v>
      </c>
      <c r="B851" s="14" t="s">
        <v>13</v>
      </c>
      <c r="C851" s="159" t="s">
        <v>64</v>
      </c>
      <c r="D851" t="s">
        <v>274</v>
      </c>
      <c r="E851">
        <v>-0.154749380111111</v>
      </c>
      <c r="F851">
        <v>0.25842102834269498</v>
      </c>
      <c r="G851">
        <v>-0.59882657809834405</v>
      </c>
      <c r="H851">
        <v>-0.66990228497156901</v>
      </c>
      <c r="I851">
        <v>0.360403524749346</v>
      </c>
      <c r="J851">
        <v>0.55116799318271603</v>
      </c>
    </row>
    <row r="852" spans="1:11" hidden="1" x14ac:dyDescent="0.2">
      <c r="A852" s="113" t="s">
        <v>263</v>
      </c>
      <c r="B852" s="14" t="s">
        <v>13</v>
      </c>
      <c r="C852" s="160" t="s">
        <v>65</v>
      </c>
      <c r="D852" s="11" t="s">
        <v>274</v>
      </c>
      <c r="E852" s="11">
        <v>-1.03284001677778</v>
      </c>
      <c r="F852" s="11">
        <v>0.29257896031284902</v>
      </c>
      <c r="G852" s="11">
        <v>-3.5301240242066001</v>
      </c>
      <c r="H852" s="11">
        <v>-1.6295587404685099</v>
      </c>
      <c r="I852" s="11">
        <v>-0.43612129308704001</v>
      </c>
      <c r="J852" s="11">
        <v>1.32173880362932E-3</v>
      </c>
      <c r="K852" s="11" t="s">
        <v>61</v>
      </c>
    </row>
    <row r="853" spans="1:11" hidden="1" x14ac:dyDescent="0.2">
      <c r="A853" s="171" t="s">
        <v>263</v>
      </c>
      <c r="B853" s="128" t="s">
        <v>17</v>
      </c>
      <c r="C853" s="42" t="s">
        <v>66</v>
      </c>
      <c r="D853" s="42" t="s">
        <v>274</v>
      </c>
      <c r="E853" s="42">
        <v>-0.22611597192767299</v>
      </c>
      <c r="F853" s="42">
        <v>0.224637748067263</v>
      </c>
      <c r="G853" s="42">
        <v>-1.0065804784508801</v>
      </c>
      <c r="H853" s="42">
        <v>-0.67153112986636698</v>
      </c>
      <c r="I853" s="42">
        <v>0.21929918601102</v>
      </c>
      <c r="J853" s="42">
        <v>0.31645046149995898</v>
      </c>
      <c r="K853" s="42"/>
    </row>
    <row r="854" spans="1:11" hidden="1" x14ac:dyDescent="0.2">
      <c r="A854" s="113" t="s">
        <v>263</v>
      </c>
      <c r="B854" s="127" t="s">
        <v>17</v>
      </c>
      <c r="C854" s="159" t="s">
        <v>64</v>
      </c>
      <c r="D854" t="s">
        <v>274</v>
      </c>
      <c r="E854">
        <v>-0.47322344609118799</v>
      </c>
      <c r="F854">
        <v>0.31256148398635097</v>
      </c>
      <c r="G854">
        <v>-1.51401714650117</v>
      </c>
      <c r="H854">
        <v>-1.0963033767597501</v>
      </c>
      <c r="I854">
        <v>0.149856484577371</v>
      </c>
      <c r="J854">
        <v>0.13439917548494201</v>
      </c>
    </row>
    <row r="855" spans="1:11" hidden="1" x14ac:dyDescent="0.2">
      <c r="A855" s="113" t="s">
        <v>263</v>
      </c>
      <c r="B855" s="127" t="s">
        <v>17</v>
      </c>
      <c r="C855" s="159" t="s">
        <v>65</v>
      </c>
      <c r="D855" t="s">
        <v>274</v>
      </c>
      <c r="E855">
        <v>0.32610146623611203</v>
      </c>
      <c r="F855">
        <v>0.26629794568780801</v>
      </c>
      <c r="G855">
        <v>1.22457372096446</v>
      </c>
      <c r="H855">
        <v>-0.217016774741913</v>
      </c>
      <c r="I855">
        <v>0.86921970721413699</v>
      </c>
      <c r="J855">
        <v>0.22996044936323901</v>
      </c>
    </row>
    <row r="856" spans="1:11" hidden="1" x14ac:dyDescent="0.2">
      <c r="A856" s="171" t="s">
        <v>263</v>
      </c>
      <c r="B856" s="129" t="s">
        <v>26</v>
      </c>
      <c r="C856" s="42" t="s">
        <v>66</v>
      </c>
      <c r="D856" s="42" t="s">
        <v>274</v>
      </c>
      <c r="E856" s="42">
        <v>-0.202584022295248</v>
      </c>
      <c r="F856" s="42">
        <v>0.230475624765378</v>
      </c>
      <c r="G856" s="42">
        <v>-0.878982419513895</v>
      </c>
      <c r="H856" s="42">
        <v>-0.65957461131749595</v>
      </c>
      <c r="I856" s="42">
        <v>0.25440656672699902</v>
      </c>
      <c r="J856" s="42">
        <v>0.381417919663119</v>
      </c>
      <c r="K856" s="42"/>
    </row>
    <row r="857" spans="1:11" hidden="1" x14ac:dyDescent="0.2">
      <c r="A857" s="113" t="s">
        <v>263</v>
      </c>
      <c r="B857" s="53" t="s">
        <v>26</v>
      </c>
      <c r="C857" s="159" t="s">
        <v>64</v>
      </c>
      <c r="D857" t="s">
        <v>274</v>
      </c>
      <c r="E857">
        <v>-0.40018741219693499</v>
      </c>
      <c r="F857">
        <v>0.31183995274081999</v>
      </c>
      <c r="G857">
        <v>-1.2833102643827801</v>
      </c>
      <c r="H857">
        <v>-1.02182899661532</v>
      </c>
      <c r="I857">
        <v>0.22145417222145</v>
      </c>
      <c r="J857">
        <v>0.20349863160885201</v>
      </c>
    </row>
    <row r="858" spans="1:11" hidden="1" x14ac:dyDescent="0.2">
      <c r="A858" s="113" t="s">
        <v>263</v>
      </c>
      <c r="B858" s="53" t="s">
        <v>26</v>
      </c>
      <c r="C858" s="159" t="s">
        <v>65</v>
      </c>
      <c r="D858" t="s">
        <v>274</v>
      </c>
      <c r="E858">
        <v>0.30660429929166699</v>
      </c>
      <c r="F858">
        <v>0.338985751608608</v>
      </c>
      <c r="G858">
        <v>0.90447547673234197</v>
      </c>
      <c r="H858">
        <v>-0.38476169925088199</v>
      </c>
      <c r="I858">
        <v>0.99797029783421598</v>
      </c>
      <c r="J858">
        <v>0.37271910155496601</v>
      </c>
    </row>
    <row r="859" spans="1:11" hidden="1" x14ac:dyDescent="0.2">
      <c r="A859" s="171" t="s">
        <v>263</v>
      </c>
      <c r="B859" s="130" t="s">
        <v>9</v>
      </c>
      <c r="C859" s="41" t="s">
        <v>66</v>
      </c>
      <c r="D859" s="41" t="s">
        <v>274</v>
      </c>
      <c r="E859" s="41">
        <v>-0.31154289239063598</v>
      </c>
      <c r="F859" s="41">
        <v>0.170152884826614</v>
      </c>
      <c r="G859" s="41">
        <v>-1.83095862704943</v>
      </c>
      <c r="H859" s="41">
        <v>-0.648924631305135</v>
      </c>
      <c r="I859" s="41">
        <v>2.5838846523862698E-2</v>
      </c>
      <c r="J859" s="41">
        <v>6.9942505153374704E-2</v>
      </c>
      <c r="K859" s="41" t="s">
        <v>200</v>
      </c>
    </row>
    <row r="860" spans="1:11" hidden="1" x14ac:dyDescent="0.2">
      <c r="A860" s="113" t="s">
        <v>263</v>
      </c>
      <c r="B860" s="5" t="s">
        <v>9</v>
      </c>
      <c r="C860" s="159" t="s">
        <v>64</v>
      </c>
      <c r="D860" t="s">
        <v>274</v>
      </c>
      <c r="E860">
        <v>-3.1945757020689698E-2</v>
      </c>
      <c r="F860">
        <v>0.228525360136492</v>
      </c>
      <c r="G860">
        <v>-0.13979086173022301</v>
      </c>
      <c r="H860">
        <v>-0.48750273651107001</v>
      </c>
      <c r="I860">
        <v>0.42361122246969102</v>
      </c>
      <c r="J860">
        <v>0.88921554403704195</v>
      </c>
    </row>
    <row r="861" spans="1:11" hidden="1" x14ac:dyDescent="0.2">
      <c r="A861" s="113" t="s">
        <v>263</v>
      </c>
      <c r="B861" s="5" t="s">
        <v>9</v>
      </c>
      <c r="C861" s="160" t="s">
        <v>65</v>
      </c>
      <c r="D861" s="11" t="s">
        <v>274</v>
      </c>
      <c r="E861" s="11">
        <v>-0.61371130702777799</v>
      </c>
      <c r="F861" s="11">
        <v>0.21783767821698599</v>
      </c>
      <c r="G861" s="11">
        <v>-2.81728722070048</v>
      </c>
      <c r="H861" s="11">
        <v>-1.0579941808830899</v>
      </c>
      <c r="I861" s="11">
        <v>-0.16942843317246101</v>
      </c>
      <c r="J861" s="11">
        <v>8.3543658876505007E-3</v>
      </c>
      <c r="K861" s="11" t="s">
        <v>61</v>
      </c>
    </row>
    <row r="862" spans="1:11" x14ac:dyDescent="0.2">
      <c r="A862" s="199" t="s">
        <v>280</v>
      </c>
      <c r="B862" s="118" t="s">
        <v>18</v>
      </c>
      <c r="C862" s="41" t="s">
        <v>66</v>
      </c>
      <c r="D862" s="41" t="s">
        <v>286</v>
      </c>
      <c r="E862" s="41">
        <v>-0.41510560222113702</v>
      </c>
      <c r="F862" s="41">
        <v>0.21309923603307299</v>
      </c>
      <c r="G862" s="41">
        <v>-1.9479450510874301</v>
      </c>
      <c r="H862" s="41">
        <v>-0.83764202226157103</v>
      </c>
      <c r="I862" s="41">
        <v>7.4308178192964997E-3</v>
      </c>
      <c r="J862" s="41">
        <v>5.4091267282123497E-2</v>
      </c>
      <c r="K862" s="41" t="s">
        <v>200</v>
      </c>
    </row>
    <row r="863" spans="1:11" x14ac:dyDescent="0.2">
      <c r="A863" s="196" t="s">
        <v>280</v>
      </c>
      <c r="B863" s="15" t="s">
        <v>18</v>
      </c>
      <c r="C863" s="159" t="s">
        <v>64</v>
      </c>
      <c r="D863" t="s">
        <v>286</v>
      </c>
      <c r="E863">
        <v>-0.280497010363782</v>
      </c>
      <c r="F863">
        <v>0.268790024004669</v>
      </c>
      <c r="G863">
        <v>-1.0435543930711899</v>
      </c>
      <c r="H863">
        <v>-0.81632013029925898</v>
      </c>
      <c r="I863">
        <v>0.25532610957169499</v>
      </c>
      <c r="J863">
        <v>0.30018279187451902</v>
      </c>
    </row>
    <row r="864" spans="1:11" x14ac:dyDescent="0.2">
      <c r="A864" s="196" t="s">
        <v>280</v>
      </c>
      <c r="B864" s="15" t="s">
        <v>18</v>
      </c>
      <c r="C864" s="161" t="s">
        <v>65</v>
      </c>
      <c r="D864" s="20" t="s">
        <v>286</v>
      </c>
      <c r="E864" s="20">
        <v>-0.62376295882857102</v>
      </c>
      <c r="F864" s="20">
        <v>0.33393608390282797</v>
      </c>
      <c r="G864" s="20">
        <v>-1.86791122282574</v>
      </c>
      <c r="H864" s="20">
        <v>-1.30483009218535</v>
      </c>
      <c r="I864" s="20">
        <v>5.73041745282062E-2</v>
      </c>
      <c r="J864" s="20">
        <v>7.1253053562798499E-2</v>
      </c>
      <c r="K864" s="20" t="s">
        <v>200</v>
      </c>
    </row>
    <row r="865" spans="1:11" x14ac:dyDescent="0.2">
      <c r="A865" s="199" t="s">
        <v>280</v>
      </c>
      <c r="B865" s="119" t="s">
        <v>25</v>
      </c>
      <c r="C865" s="43" t="s">
        <v>66</v>
      </c>
      <c r="D865" s="43" t="s">
        <v>286</v>
      </c>
      <c r="E865" s="43">
        <v>-0.46750668099830101</v>
      </c>
      <c r="F865" s="43">
        <v>0.22209568209328001</v>
      </c>
      <c r="G865" s="43">
        <v>-2.1049787037370198</v>
      </c>
      <c r="H865" s="43">
        <v>-0.90788139169678705</v>
      </c>
      <c r="I865" s="43">
        <v>-2.7131970299816E-2</v>
      </c>
      <c r="J865" s="43">
        <v>3.76791518091125E-2</v>
      </c>
      <c r="K865" s="43" t="s">
        <v>61</v>
      </c>
    </row>
    <row r="866" spans="1:11" x14ac:dyDescent="0.2">
      <c r="A866" s="196" t="s">
        <v>280</v>
      </c>
      <c r="B866" s="12" t="s">
        <v>25</v>
      </c>
      <c r="C866" s="159" t="s">
        <v>64</v>
      </c>
      <c r="D866" t="s">
        <v>286</v>
      </c>
      <c r="E866">
        <v>-0.386177690524039</v>
      </c>
      <c r="F866">
        <v>0.27129077562727799</v>
      </c>
      <c r="G866">
        <v>-1.4234825700620299</v>
      </c>
      <c r="H866">
        <v>-0.92698596770845798</v>
      </c>
      <c r="I866">
        <v>0.15463058666038099</v>
      </c>
      <c r="J866">
        <v>0.158915381772816</v>
      </c>
    </row>
    <row r="867" spans="1:11" x14ac:dyDescent="0.2">
      <c r="A867" s="196" t="s">
        <v>280</v>
      </c>
      <c r="B867" s="12" t="s">
        <v>25</v>
      </c>
      <c r="C867" s="159" t="s">
        <v>65</v>
      </c>
      <c r="D867" t="s">
        <v>286</v>
      </c>
      <c r="E867">
        <v>-0.72301475494999901</v>
      </c>
      <c r="F867">
        <v>0.42890111301095901</v>
      </c>
      <c r="G867">
        <v>-1.6857376514467699</v>
      </c>
      <c r="H867">
        <v>-1.5977643421102301</v>
      </c>
      <c r="I867">
        <v>0.15173483221023701</v>
      </c>
      <c r="J867">
        <v>0.10188795135506901</v>
      </c>
    </row>
    <row r="868" spans="1:11" x14ac:dyDescent="0.2">
      <c r="A868" s="199" t="s">
        <v>280</v>
      </c>
      <c r="B868" s="120" t="s">
        <v>14</v>
      </c>
      <c r="C868" s="41" t="s">
        <v>66</v>
      </c>
      <c r="D868" s="41" t="s">
        <v>286</v>
      </c>
      <c r="E868" s="41">
        <v>-0.35376288218802998</v>
      </c>
      <c r="F868" s="41">
        <v>0.21276541128234999</v>
      </c>
      <c r="G868" s="41">
        <v>-1.66268981436353</v>
      </c>
      <c r="H868" s="41">
        <v>-0.77563738941395899</v>
      </c>
      <c r="I868" s="41">
        <v>6.8111625037898499E-2</v>
      </c>
      <c r="J868" s="41">
        <v>9.9356948725339497E-2</v>
      </c>
      <c r="K868" s="41" t="s">
        <v>200</v>
      </c>
    </row>
    <row r="869" spans="1:11" x14ac:dyDescent="0.2">
      <c r="A869" s="196" t="s">
        <v>280</v>
      </c>
      <c r="B869" s="121" t="s">
        <v>14</v>
      </c>
      <c r="C869" s="159" t="s">
        <v>64</v>
      </c>
      <c r="D869" t="s">
        <v>286</v>
      </c>
      <c r="E869">
        <v>-0.19884186260897499</v>
      </c>
      <c r="F869">
        <v>0.26431007620055202</v>
      </c>
      <c r="G869">
        <v>-0.752305267613402</v>
      </c>
      <c r="H869">
        <v>-0.72573436981639805</v>
      </c>
      <c r="I869">
        <v>0.32805064459844802</v>
      </c>
      <c r="J869">
        <v>0.45431999830174702</v>
      </c>
    </row>
    <row r="870" spans="1:11" x14ac:dyDescent="0.2">
      <c r="A870" s="196" t="s">
        <v>280</v>
      </c>
      <c r="B870" s="121" t="s">
        <v>14</v>
      </c>
      <c r="C870" s="161" t="s">
        <v>65</v>
      </c>
      <c r="D870" s="20" t="s">
        <v>286</v>
      </c>
      <c r="E870" s="20">
        <v>-0.60626994560714198</v>
      </c>
      <c r="F870" s="20">
        <v>0.35473440940631601</v>
      </c>
      <c r="G870" s="20">
        <v>-1.7090813000684</v>
      </c>
      <c r="H870" s="20">
        <v>-1.3297555434908099</v>
      </c>
      <c r="I870" s="20">
        <v>0.117215652276528</v>
      </c>
      <c r="J870" s="20">
        <v>9.7430655866447405E-2</v>
      </c>
      <c r="K870" s="20" t="s">
        <v>200</v>
      </c>
    </row>
    <row r="871" spans="1:11" x14ac:dyDescent="0.2">
      <c r="A871" s="199" t="s">
        <v>280</v>
      </c>
      <c r="B871" s="122" t="s">
        <v>7</v>
      </c>
      <c r="C871" s="43" t="s">
        <v>66</v>
      </c>
      <c r="D871" s="43" t="s">
        <v>286</v>
      </c>
      <c r="E871" s="43">
        <v>-0.392046814618845</v>
      </c>
      <c r="F871" s="43">
        <v>0.190840960966949</v>
      </c>
      <c r="G871" s="43">
        <v>-2.0543116772857899</v>
      </c>
      <c r="H871" s="43">
        <v>-0.77044918688983599</v>
      </c>
      <c r="I871" s="43">
        <v>-1.36444423478537E-2</v>
      </c>
      <c r="J871" s="43">
        <v>4.2429165872396597E-2</v>
      </c>
      <c r="K871" s="43" t="s">
        <v>61</v>
      </c>
    </row>
    <row r="872" spans="1:11" x14ac:dyDescent="0.2">
      <c r="A872" s="196" t="s">
        <v>280</v>
      </c>
      <c r="B872" s="123" t="s">
        <v>7</v>
      </c>
      <c r="C872" s="159" t="s">
        <v>64</v>
      </c>
      <c r="D872" t="s">
        <v>286</v>
      </c>
      <c r="E872">
        <v>-0.35251207812660301</v>
      </c>
      <c r="F872">
        <v>0.21613693101167999</v>
      </c>
      <c r="G872">
        <v>-1.6309664270543101</v>
      </c>
      <c r="H872">
        <v>-0.78337317550849705</v>
      </c>
      <c r="I872">
        <v>7.8349019255290905E-2</v>
      </c>
      <c r="J872">
        <v>0.107264391927895</v>
      </c>
    </row>
    <row r="873" spans="1:11" x14ac:dyDescent="0.2">
      <c r="A873" s="196" t="s">
        <v>280</v>
      </c>
      <c r="B873" s="123" t="s">
        <v>7</v>
      </c>
      <c r="C873" s="159" t="s">
        <v>65</v>
      </c>
      <c r="D873" t="s">
        <v>286</v>
      </c>
      <c r="E873">
        <v>-0.38400901870714199</v>
      </c>
      <c r="F873">
        <v>0.45236003358233001</v>
      </c>
      <c r="G873">
        <v>-0.84890129586846397</v>
      </c>
      <c r="H873">
        <v>-1.30660338981063</v>
      </c>
      <c r="I873">
        <v>0.53858535239635097</v>
      </c>
      <c r="J873">
        <v>0.40244418422866302</v>
      </c>
    </row>
    <row r="874" spans="1:11" x14ac:dyDescent="0.2">
      <c r="A874" s="199" t="s">
        <v>280</v>
      </c>
      <c r="B874" s="124" t="s">
        <v>21</v>
      </c>
      <c r="C874" s="41" t="s">
        <v>66</v>
      </c>
      <c r="D874" s="41" t="s">
        <v>286</v>
      </c>
      <c r="E874" s="41">
        <v>-0.45010165126273299</v>
      </c>
      <c r="F874" s="41">
        <v>0.24094485691265399</v>
      </c>
      <c r="G874" s="41">
        <v>-1.8680691384332</v>
      </c>
      <c r="H874" s="41">
        <v>-0.92785079369150603</v>
      </c>
      <c r="I874" s="41">
        <v>2.7647491166040299E-2</v>
      </c>
      <c r="J874" s="41">
        <v>6.4540597243478395E-2</v>
      </c>
      <c r="K874" s="41" t="s">
        <v>200</v>
      </c>
    </row>
    <row r="875" spans="1:11" x14ac:dyDescent="0.2">
      <c r="A875" s="196" t="s">
        <v>280</v>
      </c>
      <c r="B875" s="9" t="s">
        <v>21</v>
      </c>
      <c r="C875" s="160" t="s">
        <v>64</v>
      </c>
      <c r="D875" s="11" t="s">
        <v>286</v>
      </c>
      <c r="E875" s="11">
        <v>-0.75512509261698701</v>
      </c>
      <c r="F875" s="11">
        <v>0.28321570893192299</v>
      </c>
      <c r="G875" s="11">
        <v>-2.6662542676914098</v>
      </c>
      <c r="H875" s="11">
        <v>-1.31970528987909</v>
      </c>
      <c r="I875" s="11">
        <v>-0.190544895354886</v>
      </c>
      <c r="J875" s="11">
        <v>9.4648891940231107E-3</v>
      </c>
      <c r="K875" s="11" t="s">
        <v>61</v>
      </c>
    </row>
    <row r="876" spans="1:11" x14ac:dyDescent="0.2">
      <c r="A876" s="196" t="s">
        <v>280</v>
      </c>
      <c r="B876" s="9" t="s">
        <v>21</v>
      </c>
      <c r="C876" s="159" t="s">
        <v>65</v>
      </c>
      <c r="D876" t="s">
        <v>286</v>
      </c>
      <c r="E876">
        <v>0.48306162865714503</v>
      </c>
      <c r="F876">
        <v>0.47774268429574801</v>
      </c>
      <c r="G876">
        <v>1.0111334920161801</v>
      </c>
      <c r="H876">
        <v>-0.49130099988154702</v>
      </c>
      <c r="I876">
        <v>1.45742425719584</v>
      </c>
      <c r="J876">
        <v>0.31978002866813399</v>
      </c>
    </row>
    <row r="877" spans="1:11" x14ac:dyDescent="0.2">
      <c r="A877" s="199" t="s">
        <v>280</v>
      </c>
      <c r="B877" s="125" t="s">
        <v>11</v>
      </c>
      <c r="C877" s="200" t="s">
        <v>66</v>
      </c>
      <c r="D877" s="200" t="s">
        <v>286</v>
      </c>
      <c r="E877" s="200">
        <v>-0.75178985562266398</v>
      </c>
      <c r="F877" s="200">
        <v>0.211027815936084</v>
      </c>
      <c r="G877" s="200">
        <v>-3.56251545459943</v>
      </c>
      <c r="H877" s="200">
        <v>-1.1702190322563399</v>
      </c>
      <c r="I877" s="200">
        <v>-0.33336067898898702</v>
      </c>
      <c r="J877" s="200">
        <v>5.5391073951647498E-4</v>
      </c>
      <c r="K877" s="200" t="s">
        <v>242</v>
      </c>
    </row>
    <row r="878" spans="1:11" x14ac:dyDescent="0.2">
      <c r="A878" s="196" t="s">
        <v>280</v>
      </c>
      <c r="B878" s="13" t="s">
        <v>11</v>
      </c>
      <c r="C878" s="160" t="s">
        <v>64</v>
      </c>
      <c r="D878" s="11" t="s">
        <v>286</v>
      </c>
      <c r="E878" s="11">
        <v>-0.59690104774679598</v>
      </c>
      <c r="F878" s="11">
        <v>0.26500326583207601</v>
      </c>
      <c r="G878" s="11">
        <v>-2.2524290252522099</v>
      </c>
      <c r="H878" s="11">
        <v>-1.1251754032294501</v>
      </c>
      <c r="I878" s="11">
        <v>-6.8626692264141503E-2</v>
      </c>
      <c r="J878" s="11">
        <v>2.7344436042223499E-2</v>
      </c>
      <c r="K878" s="11" t="s">
        <v>61</v>
      </c>
    </row>
    <row r="879" spans="1:11" x14ac:dyDescent="0.2">
      <c r="A879" s="196" t="s">
        <v>280</v>
      </c>
      <c r="B879" s="13" t="s">
        <v>11</v>
      </c>
      <c r="C879" s="160" t="s">
        <v>65</v>
      </c>
      <c r="D879" s="11" t="s">
        <v>286</v>
      </c>
      <c r="E879" s="11">
        <v>-1.0670058635928601</v>
      </c>
      <c r="F879" s="11">
        <v>0.33855611031683702</v>
      </c>
      <c r="G879" s="11">
        <v>-3.1516367038666102</v>
      </c>
      <c r="H879" s="11">
        <v>-1.7574956029437101</v>
      </c>
      <c r="I879" s="11">
        <v>-0.37651612424200098</v>
      </c>
      <c r="J879" s="11">
        <v>3.5874273973608901E-3</v>
      </c>
      <c r="K879" s="11" t="s">
        <v>61</v>
      </c>
    </row>
    <row r="880" spans="1:11" x14ac:dyDescent="0.2">
      <c r="A880" s="199" t="s">
        <v>280</v>
      </c>
      <c r="B880" s="126" t="s">
        <v>13</v>
      </c>
      <c r="C880" s="43" t="s">
        <v>66</v>
      </c>
      <c r="D880" s="43" t="s">
        <v>286</v>
      </c>
      <c r="E880" s="43">
        <v>-0.59012364409507601</v>
      </c>
      <c r="F880" s="43">
        <v>0.211290047558712</v>
      </c>
      <c r="G880" s="43">
        <v>-2.7929552334030099</v>
      </c>
      <c r="H880" s="43">
        <v>-1.0090727775953701</v>
      </c>
      <c r="I880" s="43">
        <v>-0.17117451059477901</v>
      </c>
      <c r="J880" s="43">
        <v>6.20802820640441E-3</v>
      </c>
      <c r="K880" s="43" t="s">
        <v>61</v>
      </c>
    </row>
    <row r="881" spans="1:11" x14ac:dyDescent="0.2">
      <c r="A881" s="196" t="s">
        <v>280</v>
      </c>
      <c r="B881" s="14" t="s">
        <v>13</v>
      </c>
      <c r="C881" s="159" t="s">
        <v>64</v>
      </c>
      <c r="D881" t="s">
        <v>286</v>
      </c>
      <c r="E881">
        <v>-0.38455427742467901</v>
      </c>
      <c r="F881">
        <v>0.26100846340092398</v>
      </c>
      <c r="G881">
        <v>-1.47334026036536</v>
      </c>
      <c r="H881">
        <v>-0.90486513980482097</v>
      </c>
      <c r="I881">
        <v>0.135756584955462</v>
      </c>
      <c r="J881">
        <v>0.145017910529748</v>
      </c>
    </row>
    <row r="882" spans="1:11" x14ac:dyDescent="0.2">
      <c r="A882" s="196" t="s">
        <v>280</v>
      </c>
      <c r="B882" s="14" t="s">
        <v>13</v>
      </c>
      <c r="C882" s="160" t="s">
        <v>65</v>
      </c>
      <c r="D882" s="11" t="s">
        <v>286</v>
      </c>
      <c r="E882" s="11">
        <v>-1.2762077585642799</v>
      </c>
      <c r="F882" s="11">
        <v>0.36417793100146001</v>
      </c>
      <c r="G882" s="11">
        <v>-3.50435226828494</v>
      </c>
      <c r="H882" s="11">
        <v>-2.01895354572259</v>
      </c>
      <c r="I882" s="11">
        <v>-0.53346197140598295</v>
      </c>
      <c r="J882" s="11">
        <v>1.41641946863069E-3</v>
      </c>
      <c r="K882" s="11" t="s">
        <v>61</v>
      </c>
    </row>
    <row r="883" spans="1:11" x14ac:dyDescent="0.2">
      <c r="A883" s="199" t="s">
        <v>280</v>
      </c>
      <c r="B883" s="128" t="s">
        <v>17</v>
      </c>
      <c r="C883" s="43" t="s">
        <v>66</v>
      </c>
      <c r="D883" s="43" t="s">
        <v>286</v>
      </c>
      <c r="E883" s="43">
        <v>-0.530296838780559</v>
      </c>
      <c r="F883" s="43">
        <v>0.243337602897153</v>
      </c>
      <c r="G883" s="43">
        <v>-2.1792638394843098</v>
      </c>
      <c r="H883" s="43">
        <v>-1.01279035449371</v>
      </c>
      <c r="I883" s="43">
        <v>-4.78033230674096E-2</v>
      </c>
      <c r="J883" s="43">
        <v>3.15472070983467E-2</v>
      </c>
      <c r="K883" s="43" t="s">
        <v>61</v>
      </c>
    </row>
    <row r="884" spans="1:11" x14ac:dyDescent="0.2">
      <c r="A884" s="196" t="s">
        <v>280</v>
      </c>
      <c r="B884" s="127" t="s">
        <v>17</v>
      </c>
      <c r="C884" s="160" t="s">
        <v>64</v>
      </c>
      <c r="D884" s="11" t="s">
        <v>286</v>
      </c>
      <c r="E884" s="11">
        <v>-0.76576736741666696</v>
      </c>
      <c r="F884" s="11">
        <v>0.311872727576958</v>
      </c>
      <c r="G884" s="11">
        <v>-2.4553841990807199</v>
      </c>
      <c r="H884" s="11">
        <v>-1.3874742872768</v>
      </c>
      <c r="I884" s="11">
        <v>-0.14406044755653899</v>
      </c>
      <c r="J884" s="11">
        <v>1.6489023748721E-2</v>
      </c>
      <c r="K884" s="11" t="s">
        <v>61</v>
      </c>
    </row>
    <row r="885" spans="1:11" x14ac:dyDescent="0.2">
      <c r="A885" s="196" t="s">
        <v>280</v>
      </c>
      <c r="B885" s="127" t="s">
        <v>17</v>
      </c>
      <c r="C885" s="159" t="s">
        <v>65</v>
      </c>
      <c r="D885" t="s">
        <v>286</v>
      </c>
      <c r="E885">
        <v>0.26897701145000102</v>
      </c>
      <c r="F885">
        <v>0.335216153298667</v>
      </c>
      <c r="G885">
        <v>0.80239871737431201</v>
      </c>
      <c r="H885">
        <v>-0.41470084065190999</v>
      </c>
      <c r="I885">
        <v>0.95265486355191298</v>
      </c>
      <c r="J885">
        <v>0.42843121353235197</v>
      </c>
    </row>
    <row r="886" spans="1:11" x14ac:dyDescent="0.2">
      <c r="A886" s="199" t="s">
        <v>280</v>
      </c>
      <c r="B886" s="129" t="s">
        <v>26</v>
      </c>
      <c r="C886" s="42" t="s">
        <v>66</v>
      </c>
      <c r="D886" s="42" t="s">
        <v>286</v>
      </c>
      <c r="E886" s="42">
        <v>-0.36130536612436298</v>
      </c>
      <c r="F886" s="42">
        <v>0.25250540326832399</v>
      </c>
      <c r="G886" s="42">
        <v>-1.43088172153062</v>
      </c>
      <c r="H886" s="42">
        <v>-0.86197693644057405</v>
      </c>
      <c r="I886" s="42">
        <v>0.139366204191848</v>
      </c>
      <c r="J886" s="42">
        <v>0.15543357757967999</v>
      </c>
      <c r="K886" s="42"/>
    </row>
    <row r="887" spans="1:11" x14ac:dyDescent="0.2">
      <c r="A887" s="196" t="s">
        <v>280</v>
      </c>
      <c r="B887" s="53" t="s">
        <v>26</v>
      </c>
      <c r="C887" s="161" t="s">
        <v>64</v>
      </c>
      <c r="D887" s="20" t="s">
        <v>286</v>
      </c>
      <c r="E887" s="20">
        <v>-0.548912319982372</v>
      </c>
      <c r="F887" s="20">
        <v>0.31595364198910197</v>
      </c>
      <c r="G887" s="20">
        <v>-1.7373191729225499</v>
      </c>
      <c r="H887" s="20">
        <v>-1.17875439404177</v>
      </c>
      <c r="I887" s="20">
        <v>8.09297540770305E-2</v>
      </c>
      <c r="J887" s="20">
        <v>8.6606905482456406E-2</v>
      </c>
      <c r="K887" s="20" t="s">
        <v>200</v>
      </c>
    </row>
    <row r="888" spans="1:11" x14ac:dyDescent="0.2">
      <c r="A888" s="196" t="s">
        <v>280</v>
      </c>
      <c r="B888" s="53" t="s">
        <v>26</v>
      </c>
      <c r="C888" s="159" t="s">
        <v>65</v>
      </c>
      <c r="D888" t="s">
        <v>286</v>
      </c>
      <c r="E888">
        <v>0.35857449312857198</v>
      </c>
      <c r="F888">
        <v>0.42169044171522901</v>
      </c>
      <c r="G888">
        <v>0.85032634761667303</v>
      </c>
      <c r="H888">
        <v>-0.50146883296647804</v>
      </c>
      <c r="I888">
        <v>1.2186178192236199</v>
      </c>
      <c r="J888">
        <v>0.40166377697329098</v>
      </c>
    </row>
    <row r="889" spans="1:11" x14ac:dyDescent="0.2">
      <c r="A889" s="199" t="s">
        <v>280</v>
      </c>
      <c r="B889" s="130" t="s">
        <v>9</v>
      </c>
      <c r="C889" s="43" t="s">
        <v>66</v>
      </c>
      <c r="D889" s="43" t="s">
        <v>286</v>
      </c>
      <c r="E889" s="43">
        <v>-0.41120753084719802</v>
      </c>
      <c r="F889" s="43">
        <v>0.18623252097476101</v>
      </c>
      <c r="G889" s="43">
        <v>-2.2080328864953001</v>
      </c>
      <c r="H889" s="43">
        <v>-0.78047221791331001</v>
      </c>
      <c r="I889" s="43">
        <v>-4.1942843781085697E-2</v>
      </c>
      <c r="J889" s="43">
        <v>2.94168160333293E-2</v>
      </c>
      <c r="K889" s="43" t="s">
        <v>61</v>
      </c>
    </row>
    <row r="890" spans="1:11" x14ac:dyDescent="0.2">
      <c r="A890" s="196" t="s">
        <v>280</v>
      </c>
      <c r="B890" s="5" t="s">
        <v>9</v>
      </c>
      <c r="C890" s="159" t="s">
        <v>64</v>
      </c>
      <c r="D890" t="s">
        <v>286</v>
      </c>
      <c r="E890">
        <v>-0.27959322434294898</v>
      </c>
      <c r="F890">
        <v>0.23138314057085901</v>
      </c>
      <c r="G890">
        <v>-1.20835607837783</v>
      </c>
      <c r="H890">
        <v>-0.74084708501075802</v>
      </c>
      <c r="I890">
        <v>0.18166063632485999</v>
      </c>
      <c r="J890">
        <v>0.23086407841485901</v>
      </c>
    </row>
    <row r="891" spans="1:11" x14ac:dyDescent="0.2">
      <c r="A891" s="196" t="s">
        <v>280</v>
      </c>
      <c r="B891" s="5" t="s">
        <v>9</v>
      </c>
      <c r="C891" s="161" t="s">
        <v>65</v>
      </c>
      <c r="D891" s="20" t="s">
        <v>286</v>
      </c>
      <c r="E891" s="20">
        <v>-0.49569165529999998</v>
      </c>
      <c r="F891" s="20">
        <v>0.28988402952722198</v>
      </c>
      <c r="G891" s="20">
        <v>-1.70996538204755</v>
      </c>
      <c r="H891" s="20">
        <v>-1.0869140314163399</v>
      </c>
      <c r="I891" s="20">
        <v>9.5530720816342604E-2</v>
      </c>
      <c r="J891" s="20">
        <v>9.7265109949174894E-2</v>
      </c>
      <c r="K891" s="20" t="s">
        <v>200</v>
      </c>
    </row>
    <row r="892" spans="1:11" hidden="1" x14ac:dyDescent="0.2">
      <c r="A892" s="167" t="s">
        <v>260</v>
      </c>
      <c r="B892" s="118" t="s">
        <v>18</v>
      </c>
      <c r="C892" s="43" t="s">
        <v>66</v>
      </c>
      <c r="D892" s="43" t="s">
        <v>260</v>
      </c>
      <c r="E892" s="43">
        <v>0.13906188174710199</v>
      </c>
      <c r="F892" s="43">
        <v>5.9777758900232E-2</v>
      </c>
      <c r="G892" s="43">
        <v>2.32631474156122</v>
      </c>
      <c r="H892" s="43">
        <v>2.0533628366484199E-2</v>
      </c>
      <c r="I892" s="43">
        <v>0.25759013512772</v>
      </c>
      <c r="J892" s="43">
        <v>2.1922442557453601E-2</v>
      </c>
      <c r="K892" s="43" t="s">
        <v>61</v>
      </c>
    </row>
    <row r="893" spans="1:11" hidden="1" x14ac:dyDescent="0.2">
      <c r="A893" s="80" t="s">
        <v>260</v>
      </c>
      <c r="B893" s="15" t="s">
        <v>18</v>
      </c>
      <c r="C893" s="159" t="s">
        <v>64</v>
      </c>
      <c r="D893" t="s">
        <v>260</v>
      </c>
      <c r="E893">
        <v>4.4124780970380098E-2</v>
      </c>
      <c r="F893">
        <v>8.9276432559763197E-2</v>
      </c>
      <c r="G893">
        <v>0.49424892667885501</v>
      </c>
      <c r="H893">
        <v>-0.133844534699053</v>
      </c>
      <c r="I893">
        <v>0.222094096639814</v>
      </c>
      <c r="J893">
        <v>0.62263501095446805</v>
      </c>
    </row>
    <row r="894" spans="1:11" hidden="1" x14ac:dyDescent="0.2">
      <c r="A894" s="80" t="s">
        <v>260</v>
      </c>
      <c r="B894" s="15" t="s">
        <v>18</v>
      </c>
      <c r="C894" s="162" t="s">
        <v>65</v>
      </c>
      <c r="D894" s="10" t="s">
        <v>260</v>
      </c>
      <c r="E894" s="10">
        <v>0.23294558206044999</v>
      </c>
      <c r="F894" s="10">
        <v>6.1922913477764699E-2</v>
      </c>
      <c r="G894" s="10">
        <v>3.7618640496315798</v>
      </c>
      <c r="H894" s="10">
        <v>0.106652967382508</v>
      </c>
      <c r="I894" s="10">
        <v>0.35923819673839302</v>
      </c>
      <c r="J894" s="10">
        <v>7.0477676133742502E-4</v>
      </c>
      <c r="K894" s="10" t="s">
        <v>242</v>
      </c>
    </row>
    <row r="895" spans="1:11" hidden="1" x14ac:dyDescent="0.2">
      <c r="A895" s="167" t="s">
        <v>260</v>
      </c>
      <c r="B895" s="119" t="s">
        <v>25</v>
      </c>
      <c r="C895" s="43" t="s">
        <v>66</v>
      </c>
      <c r="D895" s="43" t="s">
        <v>260</v>
      </c>
      <c r="E895" s="43">
        <v>0.13222979585577299</v>
      </c>
      <c r="F895" s="43">
        <v>6.2760442330165395E-2</v>
      </c>
      <c r="G895" s="43">
        <v>2.1068971305228898</v>
      </c>
      <c r="H895" s="43">
        <v>7.7874322133873897E-3</v>
      </c>
      <c r="I895" s="43">
        <v>0.25667215949815803</v>
      </c>
      <c r="J895" s="43">
        <v>3.7508697155463101E-2</v>
      </c>
      <c r="K895" s="43" t="s">
        <v>61</v>
      </c>
    </row>
    <row r="896" spans="1:11" hidden="1" x14ac:dyDescent="0.2">
      <c r="A896" s="80" t="s">
        <v>260</v>
      </c>
      <c r="B896" s="12" t="s">
        <v>25</v>
      </c>
      <c r="C896" s="159" t="s">
        <v>64</v>
      </c>
      <c r="D896" t="s">
        <v>260</v>
      </c>
      <c r="E896">
        <v>8.4877275959458306E-2</v>
      </c>
      <c r="F896">
        <v>9.0284233679856704E-2</v>
      </c>
      <c r="G896">
        <v>0.94011182794582804</v>
      </c>
      <c r="H896">
        <v>-9.5101054525322595E-2</v>
      </c>
      <c r="I896">
        <v>0.264855606444239</v>
      </c>
      <c r="J896">
        <v>0.35030358694538899</v>
      </c>
    </row>
    <row r="897" spans="1:11" hidden="1" x14ac:dyDescent="0.2">
      <c r="A897" s="80" t="s">
        <v>260</v>
      </c>
      <c r="B897" s="12" t="s">
        <v>25</v>
      </c>
      <c r="C897" s="160" t="s">
        <v>65</v>
      </c>
      <c r="D897" s="11" t="s">
        <v>260</v>
      </c>
      <c r="E897" s="11">
        <v>0.206485828960772</v>
      </c>
      <c r="F897" s="11">
        <v>8.7548383682334502E-2</v>
      </c>
      <c r="G897" s="11">
        <v>2.35853387893484</v>
      </c>
      <c r="H897" s="11">
        <v>2.7929723230378799E-2</v>
      </c>
      <c r="I897" s="11">
        <v>0.38504193469116499</v>
      </c>
      <c r="J897" s="11">
        <v>2.48320970438713E-2</v>
      </c>
      <c r="K897" s="11" t="s">
        <v>61</v>
      </c>
    </row>
    <row r="898" spans="1:11" hidden="1" x14ac:dyDescent="0.2">
      <c r="A898" s="167" t="s">
        <v>260</v>
      </c>
      <c r="B898" s="120" t="s">
        <v>14</v>
      </c>
      <c r="C898" s="41" t="s">
        <v>66</v>
      </c>
      <c r="D898" s="41" t="s">
        <v>260</v>
      </c>
      <c r="E898" s="41">
        <v>0.115563434691004</v>
      </c>
      <c r="F898" s="41">
        <v>5.9859332362414697E-2</v>
      </c>
      <c r="G898" s="41">
        <v>1.9305834216681901</v>
      </c>
      <c r="H898" s="41">
        <v>-3.1265637963659599E-3</v>
      </c>
      <c r="I898" s="41">
        <v>0.23425343317837399</v>
      </c>
      <c r="J898" s="41">
        <v>5.6231783562488702E-2</v>
      </c>
      <c r="K898" s="41" t="s">
        <v>200</v>
      </c>
    </row>
    <row r="899" spans="1:11" hidden="1" x14ac:dyDescent="0.2">
      <c r="A899" s="80" t="s">
        <v>260</v>
      </c>
      <c r="B899" s="121" t="s">
        <v>14</v>
      </c>
      <c r="C899" s="159" t="s">
        <v>64</v>
      </c>
      <c r="D899" t="s">
        <v>260</v>
      </c>
      <c r="E899">
        <v>1.59539852740062E-2</v>
      </c>
      <c r="F899">
        <v>8.76018626033951E-2</v>
      </c>
      <c r="G899">
        <v>0.182119247238333</v>
      </c>
      <c r="H899">
        <v>-0.158677136197581</v>
      </c>
      <c r="I899">
        <v>0.19058510674559301</v>
      </c>
      <c r="J899">
        <v>0.85600092801044303</v>
      </c>
    </row>
    <row r="900" spans="1:11" hidden="1" x14ac:dyDescent="0.2">
      <c r="A900" s="80" t="s">
        <v>260</v>
      </c>
      <c r="B900" s="121" t="s">
        <v>14</v>
      </c>
      <c r="C900" s="160" t="s">
        <v>65</v>
      </c>
      <c r="D900" s="11" t="s">
        <v>260</v>
      </c>
      <c r="E900" s="11">
        <v>0.20463711268392301</v>
      </c>
      <c r="F900" s="11">
        <v>6.9624463336221895E-2</v>
      </c>
      <c r="G900" s="11">
        <v>2.9391553324542601</v>
      </c>
      <c r="H900" s="11">
        <v>6.2637083511564703E-2</v>
      </c>
      <c r="I900" s="11">
        <v>0.34663714185628097</v>
      </c>
      <c r="J900" s="11">
        <v>6.1666768533836999E-3</v>
      </c>
      <c r="K900" s="11" t="s">
        <v>61</v>
      </c>
    </row>
    <row r="901" spans="1:11" hidden="1" x14ac:dyDescent="0.2">
      <c r="A901" s="167" t="s">
        <v>260</v>
      </c>
      <c r="B901" s="122" t="s">
        <v>7</v>
      </c>
      <c r="C901" s="43" t="s">
        <v>66</v>
      </c>
      <c r="D901" s="43" t="s">
        <v>260</v>
      </c>
      <c r="E901" s="43">
        <v>0.150516814219816</v>
      </c>
      <c r="F901" s="43">
        <v>5.3005851403429997E-2</v>
      </c>
      <c r="G901" s="43">
        <v>2.83962638528764</v>
      </c>
      <c r="H901" s="43">
        <v>4.5416002456583997E-2</v>
      </c>
      <c r="I901" s="43">
        <v>0.25561762598304699</v>
      </c>
      <c r="J901" s="43">
        <v>5.42454064634119E-3</v>
      </c>
      <c r="K901" s="43" t="s">
        <v>61</v>
      </c>
    </row>
    <row r="902" spans="1:11" hidden="1" x14ac:dyDescent="0.2">
      <c r="A902" s="80" t="s">
        <v>260</v>
      </c>
      <c r="B902" s="123" t="s">
        <v>7</v>
      </c>
      <c r="C902" s="161" t="s">
        <v>64</v>
      </c>
      <c r="D902" s="20" t="s">
        <v>260</v>
      </c>
      <c r="E902" s="20">
        <v>0.119327376134557</v>
      </c>
      <c r="F902" s="20">
        <v>7.1305033390009501E-2</v>
      </c>
      <c r="G902" s="20">
        <v>1.67347759984747</v>
      </c>
      <c r="H902" s="20">
        <v>-2.2816610048035601E-2</v>
      </c>
      <c r="I902" s="20">
        <v>0.26147136231714901</v>
      </c>
      <c r="J902" s="20">
        <v>9.8572896282869499E-2</v>
      </c>
      <c r="K902" s="20" t="s">
        <v>200</v>
      </c>
    </row>
    <row r="903" spans="1:11" hidden="1" x14ac:dyDescent="0.2">
      <c r="A903" s="80" t="s">
        <v>260</v>
      </c>
      <c r="B903" s="123" t="s">
        <v>7</v>
      </c>
      <c r="C903" s="161" t="s">
        <v>65</v>
      </c>
      <c r="D903" s="20" t="s">
        <v>260</v>
      </c>
      <c r="E903" s="20">
        <v>0.183625987137299</v>
      </c>
      <c r="F903" s="20">
        <v>9.1312998953416005E-2</v>
      </c>
      <c r="G903" s="20">
        <v>2.01095122536691</v>
      </c>
      <c r="H903" s="20">
        <v>-2.6081020589739899E-3</v>
      </c>
      <c r="I903" s="20">
        <v>0.36986007633357199</v>
      </c>
      <c r="J903" s="20">
        <v>5.30962320208778E-2</v>
      </c>
      <c r="K903" s="20" t="s">
        <v>200</v>
      </c>
    </row>
    <row r="904" spans="1:11" hidden="1" x14ac:dyDescent="0.2">
      <c r="A904" s="167" t="s">
        <v>260</v>
      </c>
      <c r="B904" s="124" t="s">
        <v>21</v>
      </c>
      <c r="C904" s="42" t="s">
        <v>66</v>
      </c>
      <c r="D904" s="42" t="s">
        <v>260</v>
      </c>
      <c r="E904" s="42">
        <v>3.4835427308995998E-2</v>
      </c>
      <c r="F904" s="42">
        <v>6.9128098293946297E-2</v>
      </c>
      <c r="G904" s="42">
        <v>0.50392572873723396</v>
      </c>
      <c r="H904" s="42">
        <v>-0.102232821836646</v>
      </c>
      <c r="I904" s="42">
        <v>0.171903676454638</v>
      </c>
      <c r="J904" s="42">
        <v>0.61536927889070503</v>
      </c>
      <c r="K904" s="42"/>
    </row>
    <row r="905" spans="1:11" hidden="1" x14ac:dyDescent="0.2">
      <c r="A905" s="80" t="s">
        <v>260</v>
      </c>
      <c r="B905" s="9" t="s">
        <v>21</v>
      </c>
      <c r="C905" s="159" t="s">
        <v>64</v>
      </c>
      <c r="D905" t="s">
        <v>260</v>
      </c>
      <c r="E905">
        <v>0.117204100274967</v>
      </c>
      <c r="F905">
        <v>9.7052961288815701E-2</v>
      </c>
      <c r="G905">
        <v>1.2076303362468701</v>
      </c>
      <c r="H905">
        <v>-7.6267442090931906E-2</v>
      </c>
      <c r="I905">
        <v>0.310675642640866</v>
      </c>
      <c r="J905">
        <v>0.23114150893643001</v>
      </c>
    </row>
    <row r="906" spans="1:11" hidden="1" x14ac:dyDescent="0.2">
      <c r="A906" s="80" t="s">
        <v>260</v>
      </c>
      <c r="B906" s="9" t="s">
        <v>21</v>
      </c>
      <c r="C906" s="159" t="s">
        <v>65</v>
      </c>
      <c r="D906" t="s">
        <v>260</v>
      </c>
      <c r="E906">
        <v>-4.5818540617041097E-2</v>
      </c>
      <c r="F906">
        <v>0.102691357204235</v>
      </c>
      <c r="G906">
        <v>-0.44617718437508003</v>
      </c>
      <c r="H906">
        <v>-0.25525894446377501</v>
      </c>
      <c r="I906">
        <v>0.16362186322969299</v>
      </c>
      <c r="J906">
        <v>0.65857032345649602</v>
      </c>
    </row>
    <row r="907" spans="1:11" hidden="1" x14ac:dyDescent="0.2">
      <c r="A907" s="167" t="s">
        <v>260</v>
      </c>
      <c r="B907" s="125" t="s">
        <v>11</v>
      </c>
      <c r="C907" s="43" t="s">
        <v>66</v>
      </c>
      <c r="D907" s="43" t="s">
        <v>260</v>
      </c>
      <c r="E907" s="43">
        <v>0.168369433673277</v>
      </c>
      <c r="F907" s="43">
        <v>6.0960779253745899E-2</v>
      </c>
      <c r="G907" s="43">
        <v>2.7619304696294602</v>
      </c>
      <c r="H907" s="43">
        <v>4.7495469466500899E-2</v>
      </c>
      <c r="I907" s="43">
        <v>0.28924339788005199</v>
      </c>
      <c r="J907" s="43">
        <v>6.7846443596885301E-3</v>
      </c>
      <c r="K907" s="43" t="s">
        <v>61</v>
      </c>
    </row>
    <row r="908" spans="1:11" hidden="1" x14ac:dyDescent="0.2">
      <c r="A908" s="80" t="s">
        <v>260</v>
      </c>
      <c r="B908" s="13" t="s">
        <v>11</v>
      </c>
      <c r="C908" s="159" t="s">
        <v>64</v>
      </c>
      <c r="D908" t="s">
        <v>260</v>
      </c>
      <c r="E908">
        <v>0.116681236334207</v>
      </c>
      <c r="F908">
        <v>8.9488878454279802E-2</v>
      </c>
      <c r="G908">
        <v>1.3038629866595099</v>
      </c>
      <c r="H908">
        <v>-6.1711582485832403E-2</v>
      </c>
      <c r="I908">
        <v>0.29507405515424601</v>
      </c>
      <c r="J908">
        <v>0.19643368044315801</v>
      </c>
    </row>
    <row r="909" spans="1:11" hidden="1" x14ac:dyDescent="0.2">
      <c r="A909" s="80" t="s">
        <v>260</v>
      </c>
      <c r="B909" s="13" t="s">
        <v>11</v>
      </c>
      <c r="C909" s="160" t="s">
        <v>65</v>
      </c>
      <c r="D909" s="11" t="s">
        <v>260</v>
      </c>
      <c r="E909" s="11">
        <v>0.18828831459003301</v>
      </c>
      <c r="F909" s="11">
        <v>7.5295277443458902E-2</v>
      </c>
      <c r="G909" s="11">
        <v>2.5006656590305099</v>
      </c>
      <c r="H909" s="11">
        <v>3.47225837939499E-2</v>
      </c>
      <c r="I909" s="11">
        <v>0.34185404538611502</v>
      </c>
      <c r="J909" s="11">
        <v>1.78923562098325E-2</v>
      </c>
      <c r="K909" s="11" t="s">
        <v>61</v>
      </c>
    </row>
    <row r="910" spans="1:11" hidden="1" x14ac:dyDescent="0.2">
      <c r="A910" s="167" t="s">
        <v>260</v>
      </c>
      <c r="B910" s="126" t="s">
        <v>13</v>
      </c>
      <c r="C910" s="41" t="s">
        <v>66</v>
      </c>
      <c r="D910" s="41" t="s">
        <v>260</v>
      </c>
      <c r="E910" s="41">
        <v>0.105293258349637</v>
      </c>
      <c r="F910" s="41">
        <v>6.1028344980461599E-2</v>
      </c>
      <c r="G910" s="41">
        <v>1.7253172830321299</v>
      </c>
      <c r="H910" s="41">
        <v>-1.57146762120552E-2</v>
      </c>
      <c r="I910" s="41">
        <v>0.22630119291133</v>
      </c>
      <c r="J910" s="41">
        <v>8.74122971873664E-2</v>
      </c>
      <c r="K910" s="41" t="s">
        <v>200</v>
      </c>
    </row>
    <row r="911" spans="1:11" hidden="1" x14ac:dyDescent="0.2">
      <c r="A911" s="80" t="s">
        <v>260</v>
      </c>
      <c r="B911" s="14" t="s">
        <v>13</v>
      </c>
      <c r="C911" s="159" t="s">
        <v>64</v>
      </c>
      <c r="D911" t="s">
        <v>260</v>
      </c>
      <c r="E911">
        <v>1.5654413160943601E-2</v>
      </c>
      <c r="F911">
        <v>8.7459585652091901E-2</v>
      </c>
      <c r="G911">
        <v>0.178990250688081</v>
      </c>
      <c r="H911">
        <v>-0.15869308439184501</v>
      </c>
      <c r="I911">
        <v>0.19000191071373199</v>
      </c>
      <c r="J911">
        <v>0.85844808231735104</v>
      </c>
    </row>
    <row r="912" spans="1:11" hidden="1" x14ac:dyDescent="0.2">
      <c r="A912" s="80" t="s">
        <v>260</v>
      </c>
      <c r="B912" s="14" t="s">
        <v>13</v>
      </c>
      <c r="C912" s="160" t="s">
        <v>65</v>
      </c>
      <c r="D912" s="11" t="s">
        <v>260</v>
      </c>
      <c r="E912" s="11">
        <v>0.219389368831511</v>
      </c>
      <c r="F912" s="11">
        <v>8.2357410324974498E-2</v>
      </c>
      <c r="G912" s="11">
        <v>2.6638692009112699</v>
      </c>
      <c r="H912" s="11">
        <v>5.1420323063339497E-2</v>
      </c>
      <c r="I912" s="11">
        <v>0.38735841459968301</v>
      </c>
      <c r="J912" s="11">
        <v>1.21455618207438E-2</v>
      </c>
      <c r="K912" s="11" t="s">
        <v>61</v>
      </c>
    </row>
    <row r="913" spans="1:11" hidden="1" x14ac:dyDescent="0.2">
      <c r="A913" s="167" t="s">
        <v>260</v>
      </c>
      <c r="B913" s="128" t="s">
        <v>17</v>
      </c>
      <c r="C913" s="42" t="s">
        <v>66</v>
      </c>
      <c r="D913" s="42" t="s">
        <v>260</v>
      </c>
      <c r="E913" s="42">
        <v>6.2760133047454397E-2</v>
      </c>
      <c r="F913" s="42">
        <v>7.0036234266864505E-2</v>
      </c>
      <c r="G913" s="42">
        <v>0.89610947396621199</v>
      </c>
      <c r="H913" s="42">
        <v>-7.6108781975972706E-2</v>
      </c>
      <c r="I913" s="42">
        <v>0.201629048070882</v>
      </c>
      <c r="J913" s="42">
        <v>0.37224414577235798</v>
      </c>
      <c r="K913" s="42"/>
    </row>
    <row r="914" spans="1:11" hidden="1" x14ac:dyDescent="0.2">
      <c r="A914" s="80" t="s">
        <v>260</v>
      </c>
      <c r="B914" s="127" t="s">
        <v>17</v>
      </c>
      <c r="C914" s="159" t="s">
        <v>64</v>
      </c>
      <c r="D914" t="s">
        <v>260</v>
      </c>
      <c r="E914">
        <v>0.12926782108003501</v>
      </c>
      <c r="F914">
        <v>0.10612284590380799</v>
      </c>
      <c r="G914">
        <v>1.2180960657350399</v>
      </c>
      <c r="H914">
        <v>-8.2284205819678893E-2</v>
      </c>
      <c r="I914">
        <v>0.34081984797974901</v>
      </c>
      <c r="J914">
        <v>0.227164115700981</v>
      </c>
    </row>
    <row r="915" spans="1:11" hidden="1" x14ac:dyDescent="0.2">
      <c r="A915" s="80" t="s">
        <v>260</v>
      </c>
      <c r="B915" s="127" t="s">
        <v>17</v>
      </c>
      <c r="C915" s="159" t="s">
        <v>65</v>
      </c>
      <c r="D915" t="s">
        <v>260</v>
      </c>
      <c r="E915">
        <v>-2.2945739059163601E-2</v>
      </c>
      <c r="F915">
        <v>7.1739294317691202E-2</v>
      </c>
      <c r="G915">
        <v>-0.31984896530415302</v>
      </c>
      <c r="H915">
        <v>-0.16925899445508399</v>
      </c>
      <c r="I915">
        <v>0.12336751633675699</v>
      </c>
      <c r="J915">
        <v>0.75122860157850202</v>
      </c>
    </row>
    <row r="916" spans="1:11" hidden="1" x14ac:dyDescent="0.2">
      <c r="A916" s="167" t="s">
        <v>260</v>
      </c>
      <c r="B916" s="129" t="s">
        <v>26</v>
      </c>
      <c r="C916" s="42" t="s">
        <v>66</v>
      </c>
      <c r="D916" s="42" t="s">
        <v>260</v>
      </c>
      <c r="E916" s="42">
        <v>4.97859975978917E-2</v>
      </c>
      <c r="F916" s="42">
        <v>7.1884675649237395E-2</v>
      </c>
      <c r="G916" s="42">
        <v>0.69258151543763502</v>
      </c>
      <c r="H916" s="42">
        <v>-9.2748035231219203E-2</v>
      </c>
      <c r="I916" s="42">
        <v>0.19232003042700299</v>
      </c>
      <c r="J916" s="42">
        <v>0.49010113493278901</v>
      </c>
      <c r="K916" s="42"/>
    </row>
    <row r="917" spans="1:11" hidden="1" x14ac:dyDescent="0.2">
      <c r="A917" s="80" t="s">
        <v>260</v>
      </c>
      <c r="B917" s="53" t="s">
        <v>26</v>
      </c>
      <c r="C917" s="159" t="s">
        <v>64</v>
      </c>
      <c r="D917" t="s">
        <v>260</v>
      </c>
      <c r="E917">
        <v>6.7124316789951996E-2</v>
      </c>
      <c r="F917">
        <v>0.106203447877159</v>
      </c>
      <c r="G917">
        <v>0.63203519407008302</v>
      </c>
      <c r="H917">
        <v>-0.14458838720703701</v>
      </c>
      <c r="I917">
        <v>0.278837020786941</v>
      </c>
      <c r="J917">
        <v>0.52936574326359698</v>
      </c>
    </row>
    <row r="918" spans="1:11" hidden="1" x14ac:dyDescent="0.2">
      <c r="A918" s="80" t="s">
        <v>260</v>
      </c>
      <c r="B918" s="53" t="s">
        <v>26</v>
      </c>
      <c r="C918" s="159" t="s">
        <v>65</v>
      </c>
      <c r="D918" t="s">
        <v>260</v>
      </c>
      <c r="E918">
        <v>2.28719959688106E-2</v>
      </c>
      <c r="F918">
        <v>9.0414157366970394E-2</v>
      </c>
      <c r="G918">
        <v>0.25296918795558099</v>
      </c>
      <c r="H918">
        <v>-0.16152889372572601</v>
      </c>
      <c r="I918">
        <v>0.20727288566334801</v>
      </c>
      <c r="J918">
        <v>0.80196204334006005</v>
      </c>
    </row>
    <row r="919" spans="1:11" hidden="1" x14ac:dyDescent="0.2">
      <c r="A919" s="167" t="s">
        <v>260</v>
      </c>
      <c r="B919" s="130" t="s">
        <v>9</v>
      </c>
      <c r="C919" s="43" t="s">
        <v>66</v>
      </c>
      <c r="D919" s="43" t="s">
        <v>260</v>
      </c>
      <c r="E919" s="43">
        <v>0.121497651324114</v>
      </c>
      <c r="F919" s="43">
        <v>5.2514101673780698E-2</v>
      </c>
      <c r="G919" s="43">
        <v>2.31361953173761</v>
      </c>
      <c r="H919" s="43">
        <v>1.7371888435715299E-2</v>
      </c>
      <c r="I919" s="43">
        <v>0.225623414212512</v>
      </c>
      <c r="J919" s="43">
        <v>2.2636826028643E-2</v>
      </c>
      <c r="K919" s="43" t="s">
        <v>61</v>
      </c>
    </row>
    <row r="920" spans="1:11" hidden="1" x14ac:dyDescent="0.2">
      <c r="A920" s="80" t="s">
        <v>260</v>
      </c>
      <c r="B920" s="5" t="s">
        <v>9</v>
      </c>
      <c r="C920" s="159" t="s">
        <v>64</v>
      </c>
      <c r="D920" t="s">
        <v>260</v>
      </c>
      <c r="E920">
        <v>1.29399413032766E-2</v>
      </c>
      <c r="F920">
        <v>7.7162428643757802E-2</v>
      </c>
      <c r="G920">
        <v>0.16769743423988701</v>
      </c>
      <c r="H920">
        <v>-0.14088054891320101</v>
      </c>
      <c r="I920">
        <v>0.166760431519754</v>
      </c>
      <c r="J920">
        <v>0.86729145737465396</v>
      </c>
    </row>
    <row r="921" spans="1:11" hidden="1" x14ac:dyDescent="0.2">
      <c r="A921" s="80" t="s">
        <v>260</v>
      </c>
      <c r="B921" s="5" t="s">
        <v>9</v>
      </c>
      <c r="C921" s="162" t="s">
        <v>65</v>
      </c>
      <c r="D921" s="10" t="s">
        <v>260</v>
      </c>
      <c r="E921" s="10">
        <v>0.205527566236656</v>
      </c>
      <c r="F921" s="10">
        <v>5.2697217267336303E-2</v>
      </c>
      <c r="G921" s="10">
        <v>3.9001597597459798</v>
      </c>
      <c r="H921" s="10">
        <v>9.8050883032250596E-2</v>
      </c>
      <c r="I921" s="10">
        <v>0.31300424944106098</v>
      </c>
      <c r="J921" s="10">
        <v>4.8176446305312398E-4</v>
      </c>
      <c r="K921" s="10" t="s">
        <v>242</v>
      </c>
    </row>
    <row r="922" spans="1:11" hidden="1" x14ac:dyDescent="0.2">
      <c r="A922" s="190" t="s">
        <v>261</v>
      </c>
      <c r="B922" s="118" t="s">
        <v>18</v>
      </c>
      <c r="C922" s="42" t="s">
        <v>66</v>
      </c>
      <c r="D922" s="42" t="s">
        <v>273</v>
      </c>
      <c r="E922" s="42">
        <v>-0.28960488199432599</v>
      </c>
      <c r="F922" s="42">
        <v>0.19624382254540201</v>
      </c>
      <c r="G922" s="42">
        <v>-1.47574011878679</v>
      </c>
      <c r="H922" s="42">
        <v>-0.67872013072527504</v>
      </c>
      <c r="I922" s="42">
        <v>9.95103667366221E-2</v>
      </c>
      <c r="J922" s="42">
        <v>0.14300623333514201</v>
      </c>
    </row>
    <row r="923" spans="1:11" hidden="1" x14ac:dyDescent="0.2">
      <c r="A923" s="188" t="s">
        <v>261</v>
      </c>
      <c r="B923" s="15" t="s">
        <v>18</v>
      </c>
      <c r="C923" s="159" t="s">
        <v>64</v>
      </c>
      <c r="D923" t="s">
        <v>273</v>
      </c>
      <c r="E923">
        <v>2.2141899574468502E-3</v>
      </c>
      <c r="F923">
        <v>0.26856486879004199</v>
      </c>
      <c r="G923">
        <v>8.2445256798567308E-3</v>
      </c>
      <c r="H923">
        <v>-0.53316009126082797</v>
      </c>
      <c r="I923">
        <v>0.53758847117572095</v>
      </c>
      <c r="J923">
        <v>0.99344469610527297</v>
      </c>
    </row>
    <row r="924" spans="1:11" hidden="1" x14ac:dyDescent="0.2">
      <c r="A924" s="188" t="s">
        <v>261</v>
      </c>
      <c r="B924" s="15" t="s">
        <v>18</v>
      </c>
      <c r="C924" s="160" t="s">
        <v>65</v>
      </c>
      <c r="D924" s="11" t="s">
        <v>273</v>
      </c>
      <c r="E924" s="11">
        <v>-0.70345051536153802</v>
      </c>
      <c r="F924" s="11">
        <v>0.225479886962134</v>
      </c>
      <c r="G924" s="11">
        <v>-3.1197927444396498</v>
      </c>
      <c r="H924" s="11">
        <v>-1.1633197767127501</v>
      </c>
      <c r="I924" s="11">
        <v>-0.24358125401032399</v>
      </c>
      <c r="J924" s="11">
        <v>3.8944886915571399E-3</v>
      </c>
      <c r="K924" s="11" t="s">
        <v>61</v>
      </c>
    </row>
    <row r="925" spans="1:11" hidden="1" x14ac:dyDescent="0.2">
      <c r="A925" s="190" t="s">
        <v>261</v>
      </c>
      <c r="B925" s="119" t="s">
        <v>25</v>
      </c>
      <c r="C925" s="42" t="s">
        <v>66</v>
      </c>
      <c r="D925" s="42" t="s">
        <v>273</v>
      </c>
      <c r="E925" s="42">
        <v>-0.22667899045000001</v>
      </c>
      <c r="F925" s="42">
        <v>0.20605835683969501</v>
      </c>
      <c r="G925" s="42">
        <v>-1.10007181424992</v>
      </c>
      <c r="H925" s="42">
        <v>-0.63525464768485795</v>
      </c>
      <c r="I925" s="42">
        <v>0.181896666784858</v>
      </c>
      <c r="J925" s="42">
        <v>0.27381653794293598</v>
      </c>
    </row>
    <row r="926" spans="1:11" hidden="1" x14ac:dyDescent="0.2">
      <c r="A926" s="188" t="s">
        <v>261</v>
      </c>
      <c r="B926" s="12" t="s">
        <v>25</v>
      </c>
      <c r="C926" s="159" t="s">
        <v>64</v>
      </c>
      <c r="D926" t="s">
        <v>273</v>
      </c>
      <c r="E926">
        <v>-6.0520976877856597E-2</v>
      </c>
      <c r="F926">
        <v>0.27270292546581099</v>
      </c>
      <c r="G926">
        <v>-0.221930060979284</v>
      </c>
      <c r="H926">
        <v>-0.60414432331605905</v>
      </c>
      <c r="I926">
        <v>0.48310236956034602</v>
      </c>
      <c r="J926">
        <v>0.82499660974164002</v>
      </c>
    </row>
    <row r="927" spans="1:11" hidden="1" x14ac:dyDescent="0.2">
      <c r="A927" s="188" t="s">
        <v>261</v>
      </c>
      <c r="B927" s="12" t="s">
        <v>25</v>
      </c>
      <c r="C927" s="159" t="s">
        <v>65</v>
      </c>
      <c r="D927" t="s">
        <v>273</v>
      </c>
      <c r="E927">
        <v>-0.51719533684230701</v>
      </c>
      <c r="F927">
        <v>0.31544350945655503</v>
      </c>
      <c r="G927">
        <v>-1.6395814823812001</v>
      </c>
      <c r="H927">
        <v>-1.16054661595742</v>
      </c>
      <c r="I927">
        <v>0.12615594227280799</v>
      </c>
      <c r="J927">
        <v>0.11120263572839501</v>
      </c>
    </row>
    <row r="928" spans="1:11" hidden="1" x14ac:dyDescent="0.2">
      <c r="A928" s="190" t="s">
        <v>261</v>
      </c>
      <c r="B928" s="120" t="s">
        <v>14</v>
      </c>
      <c r="C928" s="42" t="s">
        <v>66</v>
      </c>
      <c r="D928" s="42" t="s">
        <v>273</v>
      </c>
      <c r="E928" s="42">
        <v>-3.9617738957446802E-2</v>
      </c>
      <c r="F928" s="42">
        <v>0.19698073847714601</v>
      </c>
      <c r="G928" s="42">
        <v>-0.201124938731222</v>
      </c>
      <c r="H928" s="42">
        <v>-0.43019415585336002</v>
      </c>
      <c r="I928" s="42">
        <v>0.35095867793846602</v>
      </c>
      <c r="J928" s="42">
        <v>0.84098997743579795</v>
      </c>
    </row>
    <row r="929" spans="1:11" hidden="1" x14ac:dyDescent="0.2">
      <c r="A929" s="188" t="s">
        <v>261</v>
      </c>
      <c r="B929" s="121" t="s">
        <v>14</v>
      </c>
      <c r="C929" s="159" t="s">
        <v>64</v>
      </c>
      <c r="D929" t="s">
        <v>273</v>
      </c>
      <c r="E929">
        <v>0.35388172397714801</v>
      </c>
      <c r="F929">
        <v>0.259816202893764</v>
      </c>
      <c r="G929">
        <v>1.36204640063132</v>
      </c>
      <c r="H929">
        <v>-0.164052410519999</v>
      </c>
      <c r="I929">
        <v>0.87181585847429399</v>
      </c>
      <c r="J929">
        <v>0.17742946571297799</v>
      </c>
    </row>
    <row r="930" spans="1:11" hidden="1" x14ac:dyDescent="0.2">
      <c r="A930" s="188" t="s">
        <v>261</v>
      </c>
      <c r="B930" s="121" t="s">
        <v>14</v>
      </c>
      <c r="C930" s="160" t="s">
        <v>65</v>
      </c>
      <c r="D930" s="11" t="s">
        <v>273</v>
      </c>
      <c r="E930" s="11">
        <v>-0.61723426065384601</v>
      </c>
      <c r="F930" s="11">
        <v>0.248702577657816</v>
      </c>
      <c r="G930" s="11">
        <v>-2.4818169014037501</v>
      </c>
      <c r="H930" s="11">
        <v>-1.12446651194041</v>
      </c>
      <c r="I930" s="11">
        <v>-0.11000200936728401</v>
      </c>
      <c r="J930" s="11">
        <v>1.8697129160311202E-2</v>
      </c>
      <c r="K930" s="11" t="s">
        <v>61</v>
      </c>
    </row>
    <row r="931" spans="1:11" hidden="1" x14ac:dyDescent="0.2">
      <c r="A931" s="190" t="s">
        <v>261</v>
      </c>
      <c r="B931" s="122" t="s">
        <v>7</v>
      </c>
      <c r="C931" s="42" t="s">
        <v>66</v>
      </c>
      <c r="D931" s="42" t="s">
        <v>273</v>
      </c>
      <c r="E931" s="42">
        <v>-0.229387474141135</v>
      </c>
      <c r="F931" s="42">
        <v>0.176492347264779</v>
      </c>
      <c r="G931" s="42">
        <v>-1.2997020986808101</v>
      </c>
      <c r="H931" s="42">
        <v>-0.57933919600567796</v>
      </c>
      <c r="I931" s="42">
        <v>0.120564247723409</v>
      </c>
      <c r="J931" s="42">
        <v>0.19654926318247101</v>
      </c>
    </row>
    <row r="932" spans="1:11" hidden="1" x14ac:dyDescent="0.2">
      <c r="A932" s="188" t="s">
        <v>261</v>
      </c>
      <c r="B932" s="123" t="s">
        <v>7</v>
      </c>
      <c r="C932" s="159" t="s">
        <v>64</v>
      </c>
      <c r="D932" t="s">
        <v>273</v>
      </c>
      <c r="E932">
        <v>-0.129934060195429</v>
      </c>
      <c r="F932">
        <v>0.21772680814467199</v>
      </c>
      <c r="G932">
        <v>-0.59677566259591197</v>
      </c>
      <c r="H932">
        <v>-0.56396451971741202</v>
      </c>
      <c r="I932">
        <v>0.30409639932655302</v>
      </c>
      <c r="J932">
        <v>0.55252911064028198</v>
      </c>
    </row>
    <row r="933" spans="1:11" hidden="1" x14ac:dyDescent="0.2">
      <c r="A933" s="188" t="s">
        <v>261</v>
      </c>
      <c r="B933" s="123" t="s">
        <v>7</v>
      </c>
      <c r="C933" s="159" t="s">
        <v>65</v>
      </c>
      <c r="D933" t="s">
        <v>273</v>
      </c>
      <c r="E933">
        <v>-0.322407571061539</v>
      </c>
      <c r="F933">
        <v>0.33074679518244299</v>
      </c>
      <c r="G933">
        <v>-0.97478668201061602</v>
      </c>
      <c r="H933">
        <v>-0.99697010718864998</v>
      </c>
      <c r="I933">
        <v>0.35215496506557298</v>
      </c>
      <c r="J933">
        <v>0.33721175873364401</v>
      </c>
    </row>
    <row r="934" spans="1:11" hidden="1" x14ac:dyDescent="0.2">
      <c r="A934" s="190" t="s">
        <v>261</v>
      </c>
      <c r="B934" s="124" t="s">
        <v>21</v>
      </c>
      <c r="C934" s="42" t="s">
        <v>66</v>
      </c>
      <c r="D934" s="42" t="s">
        <v>273</v>
      </c>
      <c r="E934" s="42">
        <v>-0.18562236361808501</v>
      </c>
      <c r="F934" s="42">
        <v>0.22312783742692099</v>
      </c>
      <c r="G934" s="42">
        <v>-0.83191037818793301</v>
      </c>
      <c r="H934" s="42">
        <v>-0.62804364767704202</v>
      </c>
      <c r="I934" s="42">
        <v>0.25679892044087099</v>
      </c>
      <c r="J934" s="42">
        <v>0.40734753665231699</v>
      </c>
    </row>
    <row r="935" spans="1:11" hidden="1" x14ac:dyDescent="0.2">
      <c r="A935" s="188" t="s">
        <v>261</v>
      </c>
      <c r="B935" s="9" t="s">
        <v>21</v>
      </c>
      <c r="C935" s="159" t="s">
        <v>64</v>
      </c>
      <c r="D935" t="s">
        <v>273</v>
      </c>
      <c r="E935">
        <v>-0.36051882871788798</v>
      </c>
      <c r="F935">
        <v>0.291319677381498</v>
      </c>
      <c r="G935">
        <v>-1.2375368253815899</v>
      </c>
      <c r="H935">
        <v>-0.94125399182959402</v>
      </c>
      <c r="I935">
        <v>0.22021633439381699</v>
      </c>
      <c r="J935">
        <v>0.21990852685568801</v>
      </c>
    </row>
    <row r="936" spans="1:11" hidden="1" x14ac:dyDescent="0.2">
      <c r="A936" s="188" t="s">
        <v>261</v>
      </c>
      <c r="B936" s="9" t="s">
        <v>21</v>
      </c>
      <c r="C936" s="159" t="s">
        <v>65</v>
      </c>
      <c r="D936" t="s">
        <v>273</v>
      </c>
      <c r="E936">
        <v>4.5033596342307802E-2</v>
      </c>
      <c r="F936">
        <v>0.35620949431493698</v>
      </c>
      <c r="G936">
        <v>0.12642446947944599</v>
      </c>
      <c r="H936">
        <v>-0.68146045704707103</v>
      </c>
      <c r="I936">
        <v>0.77152764973168697</v>
      </c>
      <c r="J936">
        <v>0.90021236908165803</v>
      </c>
    </row>
    <row r="937" spans="1:11" hidden="1" x14ac:dyDescent="0.2">
      <c r="A937" s="190" t="s">
        <v>261</v>
      </c>
      <c r="B937" s="125" t="s">
        <v>11</v>
      </c>
      <c r="C937" s="42" t="s">
        <v>66</v>
      </c>
      <c r="D937" s="42" t="s">
        <v>273</v>
      </c>
      <c r="E937" s="42">
        <v>-0.31470729310319101</v>
      </c>
      <c r="F937" s="42">
        <v>0.201889062206078</v>
      </c>
      <c r="G937" s="42">
        <v>-1.5588129919686</v>
      </c>
      <c r="H937" s="42">
        <v>-0.71501600925756104</v>
      </c>
      <c r="I937" s="42">
        <v>8.5601423051178599E-2</v>
      </c>
      <c r="J937" s="42">
        <v>0.122049734051796</v>
      </c>
    </row>
    <row r="938" spans="1:11" hidden="1" x14ac:dyDescent="0.2">
      <c r="A938" s="188" t="s">
        <v>261</v>
      </c>
      <c r="B938" s="13" t="s">
        <v>11</v>
      </c>
      <c r="C938" s="159" t="s">
        <v>64</v>
      </c>
      <c r="D938" t="s">
        <v>273</v>
      </c>
      <c r="E938">
        <v>-0.12808552015366401</v>
      </c>
      <c r="F938">
        <v>0.271483555779302</v>
      </c>
      <c r="G938">
        <v>-0.47179844755602501</v>
      </c>
      <c r="H938">
        <v>-0.66927809754751899</v>
      </c>
      <c r="I938">
        <v>0.41310705724019098</v>
      </c>
      <c r="J938">
        <v>0.63849734654202495</v>
      </c>
    </row>
    <row r="939" spans="1:11" hidden="1" x14ac:dyDescent="0.2">
      <c r="A939" s="188" t="s">
        <v>261</v>
      </c>
      <c r="B939" s="13" t="s">
        <v>11</v>
      </c>
      <c r="C939" s="161" t="s">
        <v>65</v>
      </c>
      <c r="D939" s="20" t="s">
        <v>273</v>
      </c>
      <c r="E939" s="20">
        <v>-0.473665072642308</v>
      </c>
      <c r="F939" s="20">
        <v>0.27250078343861101</v>
      </c>
      <c r="G939" s="20">
        <v>-1.738215452687</v>
      </c>
      <c r="H939" s="20">
        <v>-1.0294340846189101</v>
      </c>
      <c r="I939" s="20">
        <v>8.2103939334293996E-2</v>
      </c>
      <c r="J939" s="20">
        <v>9.2098160879464694E-2</v>
      </c>
      <c r="K939" s="20" t="s">
        <v>200</v>
      </c>
    </row>
    <row r="940" spans="1:11" hidden="1" x14ac:dyDescent="0.2">
      <c r="A940" s="190" t="s">
        <v>261</v>
      </c>
      <c r="B940" s="126" t="s">
        <v>13</v>
      </c>
      <c r="C940" s="42" t="s">
        <v>66</v>
      </c>
      <c r="D940" s="42" t="s">
        <v>273</v>
      </c>
      <c r="E940" s="42">
        <v>-0.30984263059148898</v>
      </c>
      <c r="F940" s="42">
        <v>0.19787494449221599</v>
      </c>
      <c r="G940" s="42">
        <v>-1.5658507517796301</v>
      </c>
      <c r="H940" s="42">
        <v>-0.70219209283200201</v>
      </c>
      <c r="I940" s="42">
        <v>8.2506831649023796E-2</v>
      </c>
      <c r="J940" s="42">
        <v>0.120392484455807</v>
      </c>
    </row>
    <row r="941" spans="1:11" hidden="1" x14ac:dyDescent="0.2">
      <c r="A941" s="188" t="s">
        <v>261</v>
      </c>
      <c r="B941" s="14" t="s">
        <v>13</v>
      </c>
      <c r="C941" s="159" t="s">
        <v>64</v>
      </c>
      <c r="D941" t="s">
        <v>273</v>
      </c>
      <c r="E941">
        <v>-2.4006068538219301E-2</v>
      </c>
      <c r="F941">
        <v>0.26269748825293898</v>
      </c>
      <c r="G941">
        <v>-9.1382938976199701E-2</v>
      </c>
      <c r="H941">
        <v>-0.54768394042403801</v>
      </c>
      <c r="I941">
        <v>0.49967180334759997</v>
      </c>
      <c r="J941">
        <v>0.92744208705365505</v>
      </c>
    </row>
    <row r="942" spans="1:11" hidden="1" x14ac:dyDescent="0.2">
      <c r="A942" s="188" t="s">
        <v>261</v>
      </c>
      <c r="B942" s="14" t="s">
        <v>13</v>
      </c>
      <c r="C942" s="160" t="s">
        <v>65</v>
      </c>
      <c r="D942" s="11" t="s">
        <v>273</v>
      </c>
      <c r="E942" s="11">
        <v>-0.81659208316923104</v>
      </c>
      <c r="F942" s="11">
        <v>0.279631080984104</v>
      </c>
      <c r="G942" s="11">
        <v>-2.9202479219956601</v>
      </c>
      <c r="H942" s="11">
        <v>-1.3869034328666701</v>
      </c>
      <c r="I942" s="11">
        <v>-0.246280733471786</v>
      </c>
      <c r="J942" s="11">
        <v>6.4664031541143696E-3</v>
      </c>
      <c r="K942" s="11" t="s">
        <v>61</v>
      </c>
    </row>
    <row r="943" spans="1:11" hidden="1" x14ac:dyDescent="0.2">
      <c r="A943" s="190" t="s">
        <v>261</v>
      </c>
      <c r="B943" s="128" t="s">
        <v>17</v>
      </c>
      <c r="C943" s="42" t="s">
        <v>66</v>
      </c>
      <c r="D943" s="42" t="s">
        <v>273</v>
      </c>
      <c r="E943" s="42">
        <v>-0.26814222406844002</v>
      </c>
      <c r="F943" s="42">
        <v>0.22588294915976601</v>
      </c>
      <c r="G943" s="42">
        <v>-1.18708483781476</v>
      </c>
      <c r="H943" s="42">
        <v>-0.71602638575229405</v>
      </c>
      <c r="I943" s="42">
        <v>0.17974193761541499</v>
      </c>
      <c r="J943" s="42">
        <v>0.23787288057659101</v>
      </c>
    </row>
    <row r="944" spans="1:11" hidden="1" x14ac:dyDescent="0.2">
      <c r="A944" s="188" t="s">
        <v>261</v>
      </c>
      <c r="B944" s="127" t="s">
        <v>17</v>
      </c>
      <c r="C944" s="159" t="s">
        <v>64</v>
      </c>
      <c r="D944" t="s">
        <v>273</v>
      </c>
      <c r="E944">
        <v>-0.40644553188100901</v>
      </c>
      <c r="F944">
        <v>0.31838697222901702</v>
      </c>
      <c r="G944">
        <v>-1.27657714458446</v>
      </c>
      <c r="H944">
        <v>-1.0411383611193401</v>
      </c>
      <c r="I944">
        <v>0.22824729735732099</v>
      </c>
      <c r="J944">
        <v>0.20585372224983001</v>
      </c>
    </row>
    <row r="945" spans="1:11" hidden="1" x14ac:dyDescent="0.2">
      <c r="A945" s="188" t="s">
        <v>261</v>
      </c>
      <c r="B945" s="127" t="s">
        <v>17</v>
      </c>
      <c r="C945" s="159" t="s">
        <v>65</v>
      </c>
      <c r="D945" t="s">
        <v>273</v>
      </c>
      <c r="E945">
        <v>-2.7163744907692099E-2</v>
      </c>
      <c r="F945">
        <v>0.24847480062632099</v>
      </c>
      <c r="G945">
        <v>-0.109321930591036</v>
      </c>
      <c r="H945">
        <v>-0.53393144187574004</v>
      </c>
      <c r="I945">
        <v>0.479603952060356</v>
      </c>
      <c r="J945">
        <v>0.91365176695523398</v>
      </c>
    </row>
    <row r="946" spans="1:11" hidden="1" x14ac:dyDescent="0.2">
      <c r="A946" s="190" t="s">
        <v>261</v>
      </c>
      <c r="B946" s="129" t="s">
        <v>26</v>
      </c>
      <c r="C946" s="42" t="s">
        <v>66</v>
      </c>
      <c r="D946" s="42" t="s">
        <v>273</v>
      </c>
      <c r="E946" s="42">
        <v>-0.336149204987234</v>
      </c>
      <c r="F946" s="42">
        <v>0.23071773645954499</v>
      </c>
      <c r="G946" s="42">
        <v>-1.4569716665288801</v>
      </c>
      <c r="H946" s="42">
        <v>-0.79361985677463998</v>
      </c>
      <c r="I946" s="42">
        <v>0.121321446800171</v>
      </c>
      <c r="J946" s="42">
        <v>0.148108304833727</v>
      </c>
    </row>
    <row r="947" spans="1:11" hidden="1" x14ac:dyDescent="0.2">
      <c r="A947" s="188" t="s">
        <v>261</v>
      </c>
      <c r="B947" s="53" t="s">
        <v>26</v>
      </c>
      <c r="C947" s="159" t="s">
        <v>64</v>
      </c>
      <c r="D947" t="s">
        <v>273</v>
      </c>
      <c r="E947">
        <v>-0.38620309666430302</v>
      </c>
      <c r="F947">
        <v>0.31657336337944703</v>
      </c>
      <c r="G947">
        <v>-1.2199481742290399</v>
      </c>
      <c r="H947">
        <v>-1.01728056273684</v>
      </c>
      <c r="I947">
        <v>0.24487436940823501</v>
      </c>
      <c r="J947">
        <v>0.22646545986774499</v>
      </c>
    </row>
    <row r="948" spans="1:11" hidden="1" x14ac:dyDescent="0.2">
      <c r="A948" s="188" t="s">
        <v>261</v>
      </c>
      <c r="B948" s="53" t="s">
        <v>26</v>
      </c>
      <c r="C948" s="159" t="s">
        <v>65</v>
      </c>
      <c r="D948" t="s">
        <v>273</v>
      </c>
      <c r="E948">
        <v>-0.25024566491538403</v>
      </c>
      <c r="F948">
        <v>0.309780542975574</v>
      </c>
      <c r="G948">
        <v>-0.80781595419669605</v>
      </c>
      <c r="H948">
        <v>-0.88204724774604903</v>
      </c>
      <c r="I948">
        <v>0.38155591791527999</v>
      </c>
      <c r="J948">
        <v>0.42535214538810001</v>
      </c>
    </row>
    <row r="949" spans="1:11" hidden="1" x14ac:dyDescent="0.2">
      <c r="A949" s="190" t="s">
        <v>261</v>
      </c>
      <c r="B949" s="130" t="s">
        <v>9</v>
      </c>
      <c r="C949" s="42" t="s">
        <v>66</v>
      </c>
      <c r="D949" s="42" t="s">
        <v>273</v>
      </c>
      <c r="E949" s="42">
        <v>-0.21315669541489399</v>
      </c>
      <c r="F949" s="42">
        <v>0.17288325830787299</v>
      </c>
      <c r="G949" s="42">
        <v>-1.23295163164557</v>
      </c>
      <c r="H949" s="42">
        <v>-0.55595226057119895</v>
      </c>
      <c r="I949" s="42">
        <v>0.12963886974141101</v>
      </c>
      <c r="J949" s="42">
        <v>0.220347106548544</v>
      </c>
    </row>
    <row r="950" spans="1:11" hidden="1" x14ac:dyDescent="0.2">
      <c r="A950" s="188" t="s">
        <v>261</v>
      </c>
      <c r="B950" s="5" t="s">
        <v>9</v>
      </c>
      <c r="C950" s="159" t="s">
        <v>64</v>
      </c>
      <c r="D950" t="s">
        <v>273</v>
      </c>
      <c r="E950">
        <v>5.2836990423955899E-2</v>
      </c>
      <c r="F950">
        <v>0.231691971125252</v>
      </c>
      <c r="G950">
        <v>0.22804843071317399</v>
      </c>
      <c r="H950">
        <v>-0.409032512702309</v>
      </c>
      <c r="I950">
        <v>0.51470649355022102</v>
      </c>
      <c r="J950">
        <v>0.82025499317830297</v>
      </c>
    </row>
    <row r="951" spans="1:11" hidden="1" x14ac:dyDescent="0.2">
      <c r="A951" s="188" t="s">
        <v>261</v>
      </c>
      <c r="B951" s="5" t="s">
        <v>9</v>
      </c>
      <c r="C951" s="160" t="s">
        <v>65</v>
      </c>
      <c r="D951" s="11" t="s">
        <v>273</v>
      </c>
      <c r="E951" s="11">
        <v>-0.48548839796153798</v>
      </c>
      <c r="F951" s="11">
        <v>0.20472696576142699</v>
      </c>
      <c r="G951" s="11">
        <v>-2.3713944870715702</v>
      </c>
      <c r="H951" s="11">
        <v>-0.90303179747190498</v>
      </c>
      <c r="I951" s="11">
        <v>-6.7944998451171398E-2</v>
      </c>
      <c r="J951" s="11">
        <v>2.4115757249721301E-2</v>
      </c>
      <c r="K951" s="11" t="s">
        <v>61</v>
      </c>
    </row>
    <row r="952" spans="1:11" hidden="1" x14ac:dyDescent="0.2">
      <c r="A952" s="201" t="s">
        <v>277</v>
      </c>
      <c r="B952" s="118" t="s">
        <v>18</v>
      </c>
      <c r="C952" s="42" t="s">
        <v>66</v>
      </c>
      <c r="D952" s="42" t="s">
        <v>279</v>
      </c>
      <c r="E952" s="42">
        <v>-0.16615625001527801</v>
      </c>
      <c r="F952" s="42">
        <v>0.225962365770808</v>
      </c>
      <c r="G952" s="42">
        <v>-0.73532709506063798</v>
      </c>
      <c r="H952" s="42">
        <v>-0.61419788016849997</v>
      </c>
      <c r="I952" s="42">
        <v>0.28188538013794501</v>
      </c>
      <c r="J952" s="42">
        <v>0.46377961674516199</v>
      </c>
      <c r="K952" s="42"/>
    </row>
    <row r="953" spans="1:11" hidden="1" x14ac:dyDescent="0.2">
      <c r="A953" s="19" t="s">
        <v>277</v>
      </c>
      <c r="B953" s="15" t="s">
        <v>18</v>
      </c>
      <c r="C953" s="159" t="s">
        <v>64</v>
      </c>
      <c r="D953" t="s">
        <v>279</v>
      </c>
      <c r="E953">
        <v>3.2786002228474102E-2</v>
      </c>
      <c r="F953">
        <v>0.27931204268186599</v>
      </c>
      <c r="G953">
        <v>0.117381269757198</v>
      </c>
      <c r="H953">
        <v>-0.52401237858773198</v>
      </c>
      <c r="I953">
        <v>0.58958438304467997</v>
      </c>
      <c r="J953">
        <v>0.90688475664166002</v>
      </c>
    </row>
    <row r="954" spans="1:11" hidden="1" x14ac:dyDescent="0.2">
      <c r="A954" s="19" t="s">
        <v>277</v>
      </c>
      <c r="B954" s="15" t="s">
        <v>18</v>
      </c>
      <c r="C954" s="159" t="s">
        <v>65</v>
      </c>
      <c r="D954" t="s">
        <v>279</v>
      </c>
      <c r="E954">
        <v>-0.62613097027586195</v>
      </c>
      <c r="F954">
        <v>0.37025167697109601</v>
      </c>
      <c r="G954">
        <v>-1.69109556882504</v>
      </c>
      <c r="H954">
        <v>-1.38126424400923</v>
      </c>
      <c r="I954">
        <v>0.12900230345750799</v>
      </c>
      <c r="J954">
        <v>0.100850113607846</v>
      </c>
    </row>
    <row r="955" spans="1:11" hidden="1" x14ac:dyDescent="0.2">
      <c r="A955" s="201" t="s">
        <v>277</v>
      </c>
      <c r="B955" s="119" t="s">
        <v>25</v>
      </c>
      <c r="C955" s="42" t="s">
        <v>66</v>
      </c>
      <c r="D955" s="42" t="s">
        <v>279</v>
      </c>
      <c r="E955" s="42">
        <v>-0.294007433906944</v>
      </c>
      <c r="F955" s="42">
        <v>0.23505233790609301</v>
      </c>
      <c r="G955" s="42">
        <v>-1.2508168883834001</v>
      </c>
      <c r="H955" s="42">
        <v>-0.76007279964838104</v>
      </c>
      <c r="I955" s="42">
        <v>0.172057931834493</v>
      </c>
      <c r="J955" s="42">
        <v>0.21378131842190201</v>
      </c>
      <c r="K955" s="42"/>
    </row>
    <row r="956" spans="1:11" hidden="1" x14ac:dyDescent="0.2">
      <c r="A956" s="19" t="s">
        <v>277</v>
      </c>
      <c r="B956" s="12" t="s">
        <v>25</v>
      </c>
      <c r="C956" s="159" t="s">
        <v>64</v>
      </c>
      <c r="D956" t="s">
        <v>279</v>
      </c>
      <c r="E956">
        <v>-0.169756468358056</v>
      </c>
      <c r="F956">
        <v>0.28303352060627301</v>
      </c>
      <c r="G956">
        <v>-0.599775136154999</v>
      </c>
      <c r="H956">
        <v>-0.73397347983070305</v>
      </c>
      <c r="I956">
        <v>0.394460543114591</v>
      </c>
      <c r="J956">
        <v>0.55053903976511898</v>
      </c>
    </row>
    <row r="957" spans="1:11" hidden="1" x14ac:dyDescent="0.2">
      <c r="A957" s="19" t="s">
        <v>277</v>
      </c>
      <c r="B957" s="12" t="s">
        <v>25</v>
      </c>
      <c r="C957" s="159" t="s">
        <v>65</v>
      </c>
      <c r="D957" t="s">
        <v>279</v>
      </c>
      <c r="E957">
        <v>-0.73029047634482702</v>
      </c>
      <c r="F957">
        <v>0.47451432847271302</v>
      </c>
      <c r="G957">
        <v>-1.5390272380085199</v>
      </c>
      <c r="H957">
        <v>-1.69806882977269</v>
      </c>
      <c r="I957">
        <v>0.23748787708303401</v>
      </c>
      <c r="J957">
        <v>0.133943847483526</v>
      </c>
    </row>
    <row r="958" spans="1:11" hidden="1" x14ac:dyDescent="0.2">
      <c r="A958" s="201" t="s">
        <v>277</v>
      </c>
      <c r="B958" s="120" t="s">
        <v>14</v>
      </c>
      <c r="C958" s="42" t="s">
        <v>66</v>
      </c>
      <c r="D958" s="42" t="s">
        <v>279</v>
      </c>
      <c r="E958" s="42">
        <v>-0.24805231451250001</v>
      </c>
      <c r="F958" s="42">
        <v>0.22380999609948701</v>
      </c>
      <c r="G958" s="42">
        <v>-1.10831651327243</v>
      </c>
      <c r="H958" s="42">
        <v>-0.69182619320657301</v>
      </c>
      <c r="I958" s="42">
        <v>0.19572156418157299</v>
      </c>
      <c r="J958" s="42">
        <v>0.27025740746684301</v>
      </c>
      <c r="K958" s="42"/>
    </row>
    <row r="959" spans="1:11" hidden="1" x14ac:dyDescent="0.2">
      <c r="A959" s="19" t="s">
        <v>277</v>
      </c>
      <c r="B959" s="121" t="s">
        <v>14</v>
      </c>
      <c r="C959" s="159" t="s">
        <v>64</v>
      </c>
      <c r="D959" t="s">
        <v>279</v>
      </c>
      <c r="E959">
        <v>-0.106122946948849</v>
      </c>
      <c r="F959">
        <v>0.27341249080771102</v>
      </c>
      <c r="G959">
        <v>-0.38814227775527699</v>
      </c>
      <c r="H959">
        <v>-0.65116078604429495</v>
      </c>
      <c r="I959">
        <v>0.43891489214659701</v>
      </c>
      <c r="J959">
        <v>0.69905600789378997</v>
      </c>
    </row>
    <row r="960" spans="1:11" hidden="1" x14ac:dyDescent="0.2">
      <c r="A960" s="19" t="s">
        <v>277</v>
      </c>
      <c r="B960" s="121" t="s">
        <v>14</v>
      </c>
      <c r="C960" s="159" t="s">
        <v>65</v>
      </c>
      <c r="D960" t="s">
        <v>279</v>
      </c>
      <c r="E960">
        <v>-0.44288430812931001</v>
      </c>
      <c r="F960">
        <v>0.39981790719316701</v>
      </c>
      <c r="G960">
        <v>-1.10771503767423</v>
      </c>
      <c r="H960">
        <v>-1.25831830595984</v>
      </c>
      <c r="I960">
        <v>0.37254968970122398</v>
      </c>
      <c r="J960">
        <v>0.27650596314842801</v>
      </c>
    </row>
    <row r="961" spans="1:11" hidden="1" x14ac:dyDescent="0.2">
      <c r="A961" s="201" t="s">
        <v>277</v>
      </c>
      <c r="B961" s="122" t="s">
        <v>7</v>
      </c>
      <c r="C961" s="41" t="s">
        <v>66</v>
      </c>
      <c r="D961" s="41" t="s">
        <v>279</v>
      </c>
      <c r="E961" s="41">
        <v>-0.36501740126064802</v>
      </c>
      <c r="F961" s="41">
        <v>0.20013192742842201</v>
      </c>
      <c r="G961" s="41">
        <v>-1.8238839047367801</v>
      </c>
      <c r="H961" s="41">
        <v>-0.76184204373976405</v>
      </c>
      <c r="I961" s="41">
        <v>3.1807241218468701E-2</v>
      </c>
      <c r="J961" s="41">
        <v>7.1013913989922406E-2</v>
      </c>
      <c r="K961" s="41" t="s">
        <v>200</v>
      </c>
    </row>
    <row r="962" spans="1:11" hidden="1" x14ac:dyDescent="0.2">
      <c r="A962" s="19" t="s">
        <v>277</v>
      </c>
      <c r="B962" s="123" t="s">
        <v>7</v>
      </c>
      <c r="C962" s="159" t="s">
        <v>64</v>
      </c>
      <c r="D962" t="s">
        <v>279</v>
      </c>
      <c r="E962">
        <v>-0.27451326686615501</v>
      </c>
      <c r="F962">
        <v>0.22470357212227199</v>
      </c>
      <c r="G962">
        <v>-1.2216684597999199</v>
      </c>
      <c r="H962">
        <v>-0.722451651190682</v>
      </c>
      <c r="I962">
        <v>0.173425117458372</v>
      </c>
      <c r="J962">
        <v>0.225817933640692</v>
      </c>
    </row>
    <row r="963" spans="1:11" hidden="1" x14ac:dyDescent="0.2">
      <c r="A963" s="19" t="s">
        <v>277</v>
      </c>
      <c r="B963" s="123" t="s">
        <v>7</v>
      </c>
      <c r="C963" s="159" t="s">
        <v>65</v>
      </c>
      <c r="D963" t="s">
        <v>279</v>
      </c>
      <c r="E963">
        <v>-0.57272586434482597</v>
      </c>
      <c r="F963">
        <v>0.49206369566507902</v>
      </c>
      <c r="G963">
        <v>-1.1639262749728401</v>
      </c>
      <c r="H963">
        <v>-1.57629638813727</v>
      </c>
      <c r="I963">
        <v>0.43084465944761302</v>
      </c>
      <c r="J963">
        <v>0.25333409436884102</v>
      </c>
    </row>
    <row r="964" spans="1:11" hidden="1" x14ac:dyDescent="0.2">
      <c r="A964" s="201" t="s">
        <v>277</v>
      </c>
      <c r="B964" s="124" t="s">
        <v>21</v>
      </c>
      <c r="C964" s="42" t="s">
        <v>66</v>
      </c>
      <c r="D964" s="42" t="s">
        <v>279</v>
      </c>
      <c r="E964" s="42">
        <v>-0.21002688296944499</v>
      </c>
      <c r="F964" s="42">
        <v>0.25496419331363102</v>
      </c>
      <c r="G964" s="42">
        <v>-0.82375050488399804</v>
      </c>
      <c r="H964" s="42">
        <v>-0.71557377974254499</v>
      </c>
      <c r="I964" s="42">
        <v>0.295520013803656</v>
      </c>
      <c r="J964" s="42">
        <v>0.41194849456670402</v>
      </c>
      <c r="K964" s="42"/>
    </row>
    <row r="965" spans="1:11" hidden="1" x14ac:dyDescent="0.2">
      <c r="A965" s="19" t="s">
        <v>277</v>
      </c>
      <c r="B965" s="9" t="s">
        <v>21</v>
      </c>
      <c r="C965" s="159" t="s">
        <v>64</v>
      </c>
      <c r="D965" t="s">
        <v>279</v>
      </c>
      <c r="E965">
        <v>-0.43858877220204601</v>
      </c>
      <c r="F965">
        <v>0.30181793719720101</v>
      </c>
      <c r="G965">
        <v>-1.4531567483197101</v>
      </c>
      <c r="H965">
        <v>-1.04025183376971</v>
      </c>
      <c r="I965">
        <v>0.16307428936561499</v>
      </c>
      <c r="J965">
        <v>0.15052497117862701</v>
      </c>
    </row>
    <row r="966" spans="1:11" hidden="1" x14ac:dyDescent="0.2">
      <c r="A966" s="19" t="s">
        <v>277</v>
      </c>
      <c r="B966" s="9" t="s">
        <v>21</v>
      </c>
      <c r="C966" s="159" t="s">
        <v>65</v>
      </c>
      <c r="D966" t="s">
        <v>279</v>
      </c>
      <c r="E966">
        <v>0.56243831068965799</v>
      </c>
      <c r="F966">
        <v>0.52377484421648102</v>
      </c>
      <c r="G966">
        <v>1.0738169595200999</v>
      </c>
      <c r="H966">
        <v>-0.50580752697403997</v>
      </c>
      <c r="I966">
        <v>1.6306841483533601</v>
      </c>
      <c r="J966">
        <v>0.29119251010566899</v>
      </c>
    </row>
    <row r="967" spans="1:11" hidden="1" x14ac:dyDescent="0.2">
      <c r="A967" s="201" t="s">
        <v>277</v>
      </c>
      <c r="B967" s="125" t="s">
        <v>11</v>
      </c>
      <c r="C967" s="43" t="s">
        <v>66</v>
      </c>
      <c r="D967" s="43" t="s">
        <v>279</v>
      </c>
      <c r="E967" s="43">
        <v>-0.49884578340277702</v>
      </c>
      <c r="F967" s="43">
        <v>0.228199204859346</v>
      </c>
      <c r="G967" s="43">
        <v>-2.1860101734808799</v>
      </c>
      <c r="H967" s="43">
        <v>-0.95132265226577195</v>
      </c>
      <c r="I967" s="43">
        <v>-4.63689145397813E-2</v>
      </c>
      <c r="J967" s="43">
        <v>3.1035933107317198E-2</v>
      </c>
      <c r="K967" s="43" t="s">
        <v>61</v>
      </c>
    </row>
    <row r="968" spans="1:11" hidden="1" x14ac:dyDescent="0.2">
      <c r="A968" s="19" t="s">
        <v>277</v>
      </c>
      <c r="B968" s="13" t="s">
        <v>11</v>
      </c>
      <c r="C968" s="159" t="s">
        <v>64</v>
      </c>
      <c r="D968" t="s">
        <v>279</v>
      </c>
      <c r="E968">
        <v>-0.29791893538874697</v>
      </c>
      <c r="F968">
        <v>0.280622694313507</v>
      </c>
      <c r="G968">
        <v>-1.06163521848278</v>
      </c>
      <c r="H968">
        <v>-0.85733005248121497</v>
      </c>
      <c r="I968">
        <v>0.26149218170372002</v>
      </c>
      <c r="J968">
        <v>0.29194941613921799</v>
      </c>
    </row>
    <row r="969" spans="1:11" hidden="1" x14ac:dyDescent="0.2">
      <c r="A969" s="19" t="s">
        <v>277</v>
      </c>
      <c r="B969" s="13" t="s">
        <v>11</v>
      </c>
      <c r="C969" s="160" t="s">
        <v>65</v>
      </c>
      <c r="D969" s="11" t="s">
        <v>279</v>
      </c>
      <c r="E969" s="11">
        <v>-0.99229641999137697</v>
      </c>
      <c r="F969" s="11">
        <v>0.38845348056889001</v>
      </c>
      <c r="G969" s="11">
        <v>-2.5544794154969601</v>
      </c>
      <c r="H969" s="11">
        <v>-1.7845525169111101</v>
      </c>
      <c r="I969" s="11">
        <v>-0.20004032307164099</v>
      </c>
      <c r="J969" s="11">
        <v>1.5766651885211799E-2</v>
      </c>
      <c r="K969" s="11" t="s">
        <v>61</v>
      </c>
    </row>
    <row r="970" spans="1:11" hidden="1" x14ac:dyDescent="0.2">
      <c r="A970" s="201" t="s">
        <v>277</v>
      </c>
      <c r="B970" s="126" t="s">
        <v>13</v>
      </c>
      <c r="C970" s="42" t="s">
        <v>66</v>
      </c>
      <c r="D970" s="42" t="s">
        <v>279</v>
      </c>
      <c r="E970" s="42">
        <v>-9.6115216275925397E-2</v>
      </c>
      <c r="F970" s="42">
        <v>0.22852585370499501</v>
      </c>
      <c r="G970" s="42">
        <v>-0.42058793225208102</v>
      </c>
      <c r="H970" s="42">
        <v>-0.54923976945924202</v>
      </c>
      <c r="I970" s="42">
        <v>0.35700933690739101</v>
      </c>
      <c r="J970" s="42">
        <v>0.67491555252812796</v>
      </c>
      <c r="K970" s="42"/>
    </row>
    <row r="971" spans="1:11" hidden="1" x14ac:dyDescent="0.2">
      <c r="A971" s="19" t="s">
        <v>277</v>
      </c>
      <c r="B971" s="14" t="s">
        <v>13</v>
      </c>
      <c r="C971" s="159" t="s">
        <v>64</v>
      </c>
      <c r="D971" t="s">
        <v>279</v>
      </c>
      <c r="E971">
        <v>3.3814604526851799E-3</v>
      </c>
      <c r="F971">
        <v>0.27325143264732599</v>
      </c>
      <c r="G971">
        <v>1.23749047531966E-2</v>
      </c>
      <c r="H971">
        <v>-0.54133531506791899</v>
      </c>
      <c r="I971">
        <v>0.54809823597328999</v>
      </c>
      <c r="J971">
        <v>0.99016073246093494</v>
      </c>
    </row>
    <row r="972" spans="1:11" hidden="1" x14ac:dyDescent="0.2">
      <c r="A972" s="19" t="s">
        <v>277</v>
      </c>
      <c r="B972" s="14" t="s">
        <v>13</v>
      </c>
      <c r="C972" s="159" t="s">
        <v>65</v>
      </c>
      <c r="D972" t="s">
        <v>279</v>
      </c>
      <c r="E972">
        <v>-0.27191994715517198</v>
      </c>
      <c r="F972">
        <v>0.47020122514559798</v>
      </c>
      <c r="G972">
        <v>-0.57830548414877503</v>
      </c>
      <c r="H972">
        <v>-1.23090166835168</v>
      </c>
      <c r="I972">
        <v>0.68706177404133895</v>
      </c>
      <c r="J972">
        <v>0.56723577159170202</v>
      </c>
    </row>
    <row r="973" spans="1:11" hidden="1" x14ac:dyDescent="0.2">
      <c r="A973" s="201" t="s">
        <v>277</v>
      </c>
      <c r="B973" s="128" t="s">
        <v>17</v>
      </c>
      <c r="C973" s="42" t="s">
        <v>66</v>
      </c>
      <c r="D973" s="42" t="s">
        <v>279</v>
      </c>
      <c r="E973" s="42">
        <v>-0.26931999489490799</v>
      </c>
      <c r="F973" s="42">
        <v>0.25848927509437403</v>
      </c>
      <c r="G973" s="42">
        <v>-1.04190007417747</v>
      </c>
      <c r="H973" s="42">
        <v>-0.78185647766424304</v>
      </c>
      <c r="I973" s="42">
        <v>0.24321648787442701</v>
      </c>
      <c r="J973" s="42">
        <v>0.29985104762516801</v>
      </c>
      <c r="K973" s="42"/>
    </row>
    <row r="974" spans="1:11" hidden="1" x14ac:dyDescent="0.2">
      <c r="A974" s="19" t="s">
        <v>277</v>
      </c>
      <c r="B974" s="127" t="s">
        <v>17</v>
      </c>
      <c r="C974" s="159" t="s">
        <v>64</v>
      </c>
      <c r="D974" t="s">
        <v>279</v>
      </c>
      <c r="E974">
        <v>-0.44534128594288103</v>
      </c>
      <c r="F974">
        <v>0.33074790813750798</v>
      </c>
      <c r="G974">
        <v>-1.3464674302875099</v>
      </c>
      <c r="H974">
        <v>-1.1046751905646299</v>
      </c>
      <c r="I974">
        <v>0.21399261867886901</v>
      </c>
      <c r="J974">
        <v>0.18237541581060299</v>
      </c>
    </row>
    <row r="975" spans="1:11" hidden="1" x14ac:dyDescent="0.2">
      <c r="A975" s="19" t="s">
        <v>277</v>
      </c>
      <c r="B975" s="127" t="s">
        <v>17</v>
      </c>
      <c r="C975" s="159" t="s">
        <v>65</v>
      </c>
      <c r="D975" t="s">
        <v>279</v>
      </c>
      <c r="E975">
        <v>0.43539649537931202</v>
      </c>
      <c r="F975">
        <v>0.36375861604378801</v>
      </c>
      <c r="G975">
        <v>1.19693795878886</v>
      </c>
      <c r="H975">
        <v>-0.30649409328454202</v>
      </c>
      <c r="I975">
        <v>1.17728708404317</v>
      </c>
      <c r="J975">
        <v>0.24040425131413901</v>
      </c>
    </row>
    <row r="976" spans="1:11" hidden="1" x14ac:dyDescent="0.2">
      <c r="A976" s="201" t="s">
        <v>277</v>
      </c>
      <c r="B976" s="129" t="s">
        <v>26</v>
      </c>
      <c r="C976" s="42" t="s">
        <v>66</v>
      </c>
      <c r="D976" s="42" t="s">
        <v>279</v>
      </c>
      <c r="E976" s="42">
        <v>-0.18589475772175901</v>
      </c>
      <c r="F976" s="42">
        <v>0.26565291151728398</v>
      </c>
      <c r="G976" s="42">
        <v>-0.699765557471273</v>
      </c>
      <c r="H976" s="42">
        <v>-0.71263540820635496</v>
      </c>
      <c r="I976" s="42">
        <v>0.340845892762837</v>
      </c>
      <c r="J976" s="42">
        <v>0.48562117098702001</v>
      </c>
      <c r="K976" s="42"/>
    </row>
    <row r="977" spans="1:11" hidden="1" x14ac:dyDescent="0.2">
      <c r="A977" s="19" t="s">
        <v>277</v>
      </c>
      <c r="B977" s="53" t="s">
        <v>26</v>
      </c>
      <c r="C977" s="159" t="s">
        <v>64</v>
      </c>
      <c r="D977" t="s">
        <v>279</v>
      </c>
      <c r="E977">
        <v>-0.30594990876811601</v>
      </c>
      <c r="F977">
        <v>0.33069890951749398</v>
      </c>
      <c r="G977">
        <v>-0.92516152900084003</v>
      </c>
      <c r="H977">
        <v>-0.965186136426052</v>
      </c>
      <c r="I977">
        <v>0.35328631888981998</v>
      </c>
      <c r="J977">
        <v>0.35797240976060901</v>
      </c>
    </row>
    <row r="978" spans="1:11" hidden="1" x14ac:dyDescent="0.2">
      <c r="A978" s="19" t="s">
        <v>277</v>
      </c>
      <c r="B978" s="53" t="s">
        <v>26</v>
      </c>
      <c r="C978" s="159" t="s">
        <v>65</v>
      </c>
      <c r="D978" t="s">
        <v>279</v>
      </c>
      <c r="E978">
        <v>0.371308085146553</v>
      </c>
      <c r="F978">
        <v>0.46386644194250298</v>
      </c>
      <c r="G978">
        <v>0.80046334800950503</v>
      </c>
      <c r="H978">
        <v>-0.57475376052724103</v>
      </c>
      <c r="I978">
        <v>1.3173699308203499</v>
      </c>
      <c r="J978">
        <v>0.42953453573612699</v>
      </c>
    </row>
    <row r="979" spans="1:11" hidden="1" x14ac:dyDescent="0.2">
      <c r="A979" s="201" t="s">
        <v>277</v>
      </c>
      <c r="B979" s="130" t="s">
        <v>9</v>
      </c>
      <c r="C979" s="42" t="s">
        <v>66</v>
      </c>
      <c r="D979" s="42" t="s">
        <v>279</v>
      </c>
      <c r="E979" s="42">
        <v>-0.31262122712592499</v>
      </c>
      <c r="F979" s="42">
        <v>0.19660980683337001</v>
      </c>
      <c r="G979" s="42">
        <v>-1.5900591743670101</v>
      </c>
      <c r="H979" s="42">
        <v>-0.70246215509302501</v>
      </c>
      <c r="I979" s="42">
        <v>7.7219700841174299E-2</v>
      </c>
      <c r="J979" s="42">
        <v>0.11482798370263</v>
      </c>
      <c r="K979" s="42"/>
    </row>
    <row r="980" spans="1:11" hidden="1" x14ac:dyDescent="0.2">
      <c r="A980" s="19" t="s">
        <v>277</v>
      </c>
      <c r="B980" s="5" t="s">
        <v>9</v>
      </c>
      <c r="C980" s="159" t="s">
        <v>64</v>
      </c>
      <c r="D980" t="s">
        <v>279</v>
      </c>
      <c r="E980">
        <v>-8.3728155788576397E-2</v>
      </c>
      <c r="F980">
        <v>0.240871530422992</v>
      </c>
      <c r="G980">
        <v>-0.34760503095381301</v>
      </c>
      <c r="H980">
        <v>-0.563896775932897</v>
      </c>
      <c r="I980">
        <v>0.39644046435574398</v>
      </c>
      <c r="J980">
        <v>0.72915095555682896</v>
      </c>
    </row>
    <row r="981" spans="1:11" hidden="1" x14ac:dyDescent="0.2">
      <c r="A981" s="19" t="s">
        <v>277</v>
      </c>
      <c r="B981" s="5" t="s">
        <v>9</v>
      </c>
      <c r="C981" s="160" t="s">
        <v>65</v>
      </c>
      <c r="D981" s="11" t="s">
        <v>279</v>
      </c>
      <c r="E981" s="11">
        <v>-0.81424325712068901</v>
      </c>
      <c r="F981" s="11">
        <v>0.29932928658006303</v>
      </c>
      <c r="G981" s="11">
        <v>-2.7202258303011</v>
      </c>
      <c r="H981" s="11">
        <v>-1.42472936200097</v>
      </c>
      <c r="I981" s="11">
        <v>-0.203757152240406</v>
      </c>
      <c r="J981" s="11">
        <v>1.05972719905012E-2</v>
      </c>
      <c r="K981" s="11" t="s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BD72-A2AF-024F-89CD-723E4E305AAD}">
  <dimension ref="A1:J101"/>
  <sheetViews>
    <sheetView zoomScale="170" zoomScaleNormal="170" workbookViewId="0">
      <selection activeCell="F105" sqref="F105"/>
    </sheetView>
  </sheetViews>
  <sheetFormatPr baseColWidth="10" defaultRowHeight="16" x14ac:dyDescent="0.2"/>
  <cols>
    <col min="1" max="1" width="11" customWidth="1"/>
    <col min="4" max="4" width="11" customWidth="1"/>
    <col min="8" max="8" width="11.1640625" customWidth="1"/>
    <col min="10" max="10" width="13.6640625" customWidth="1"/>
  </cols>
  <sheetData>
    <row r="1" spans="1:10" x14ac:dyDescent="0.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250</v>
      </c>
      <c r="H1" s="32" t="s">
        <v>251</v>
      </c>
      <c r="I1" s="32" t="s">
        <v>6</v>
      </c>
      <c r="J1" s="32" t="s">
        <v>67</v>
      </c>
    </row>
    <row r="2" spans="1:10" x14ac:dyDescent="0.2">
      <c r="A2" s="131" t="s">
        <v>225</v>
      </c>
      <c r="B2" s="63" t="s">
        <v>252</v>
      </c>
      <c r="C2" t="s">
        <v>257</v>
      </c>
      <c r="D2">
        <v>-0.33793670288014199</v>
      </c>
      <c r="E2">
        <v>0.25085999418350802</v>
      </c>
      <c r="F2">
        <v>-1.34711277491674</v>
      </c>
      <c r="G2">
        <v>-0.83534573093133802</v>
      </c>
      <c r="H2">
        <v>0.159472325171054</v>
      </c>
      <c r="I2">
        <v>0.18084400984280799</v>
      </c>
    </row>
    <row r="3" spans="1:10" x14ac:dyDescent="0.2">
      <c r="A3" s="131" t="s">
        <v>225</v>
      </c>
      <c r="B3" s="135" t="s">
        <v>253</v>
      </c>
      <c r="C3" t="s">
        <v>257</v>
      </c>
      <c r="D3">
        <v>-6.0211655975177102E-2</v>
      </c>
      <c r="E3">
        <v>0.22762961344246599</v>
      </c>
      <c r="F3">
        <v>-0.26451591717171602</v>
      </c>
      <c r="G3">
        <v>-0.51155913027696198</v>
      </c>
      <c r="H3">
        <v>0.39113581832660799</v>
      </c>
      <c r="I3">
        <v>0.79190092559328396</v>
      </c>
    </row>
    <row r="4" spans="1:10" x14ac:dyDescent="0.2">
      <c r="A4" s="131" t="s">
        <v>225</v>
      </c>
      <c r="B4" s="136" t="s">
        <v>254</v>
      </c>
      <c r="C4" t="s">
        <v>257</v>
      </c>
      <c r="D4">
        <v>-8.1595086195390104E-2</v>
      </c>
      <c r="E4">
        <v>0.207624865574673</v>
      </c>
      <c r="F4">
        <v>-0.39299284297932102</v>
      </c>
      <c r="G4">
        <v>-0.49327684087649598</v>
      </c>
      <c r="H4">
        <v>0.330086668485715</v>
      </c>
      <c r="I4">
        <v>0.69512151161077695</v>
      </c>
    </row>
    <row r="5" spans="1:10" x14ac:dyDescent="0.2">
      <c r="A5" s="131" t="s">
        <v>225</v>
      </c>
      <c r="B5" s="137" t="s">
        <v>255</v>
      </c>
      <c r="C5" t="s">
        <v>257</v>
      </c>
      <c r="D5">
        <v>-6.0406191350000402E-2</v>
      </c>
      <c r="E5">
        <v>0.203766538751327</v>
      </c>
      <c r="F5">
        <v>-0.29644804156839</v>
      </c>
      <c r="G5">
        <v>-0.46443759667448198</v>
      </c>
      <c r="H5">
        <v>0.34362521397448098</v>
      </c>
      <c r="I5">
        <v>0.76747351089973204</v>
      </c>
    </row>
    <row r="6" spans="1:10" hidden="1" x14ac:dyDescent="0.2">
      <c r="A6" s="131" t="s">
        <v>225</v>
      </c>
      <c r="B6" s="53" t="s">
        <v>26</v>
      </c>
      <c r="C6" t="s">
        <v>257</v>
      </c>
      <c r="D6">
        <v>-0.34359518924716298</v>
      </c>
      <c r="E6">
        <v>0.23061324860191301</v>
      </c>
      <c r="F6">
        <v>-1.48991955722492</v>
      </c>
      <c r="G6">
        <v>-0.80085866091453095</v>
      </c>
      <c r="H6">
        <v>0.11366828242020501</v>
      </c>
      <c r="I6">
        <v>0.139243185848687</v>
      </c>
    </row>
    <row r="7" spans="1:10" hidden="1" x14ac:dyDescent="0.2">
      <c r="A7" s="131" t="s">
        <v>225</v>
      </c>
      <c r="B7" s="127" t="s">
        <v>17</v>
      </c>
      <c r="C7" t="s">
        <v>257</v>
      </c>
      <c r="D7">
        <v>-0.325663255307447</v>
      </c>
      <c r="E7">
        <v>0.225161738739656</v>
      </c>
      <c r="F7">
        <v>-1.44635255141637</v>
      </c>
      <c r="G7">
        <v>-0.77211738995468704</v>
      </c>
      <c r="H7">
        <v>0.120790879339793</v>
      </c>
      <c r="I7">
        <v>0.15105689072025</v>
      </c>
    </row>
    <row r="8" spans="1:10" hidden="1" x14ac:dyDescent="0.2">
      <c r="A8" s="131" t="s">
        <v>225</v>
      </c>
      <c r="B8" s="9" t="s">
        <v>21</v>
      </c>
      <c r="C8" t="s">
        <v>257</v>
      </c>
      <c r="D8">
        <v>-0.2679232728</v>
      </c>
      <c r="E8">
        <v>0.22232978774404599</v>
      </c>
      <c r="F8">
        <v>-1.2050714189879199</v>
      </c>
      <c r="G8">
        <v>-0.70876217175850598</v>
      </c>
      <c r="H8">
        <v>0.172915626158505</v>
      </c>
      <c r="I8">
        <v>0.230884694372921</v>
      </c>
    </row>
    <row r="9" spans="1:10" x14ac:dyDescent="0.2">
      <c r="A9" s="131" t="s">
        <v>225</v>
      </c>
      <c r="B9" s="36" t="s">
        <v>29</v>
      </c>
      <c r="C9" s="20" t="s">
        <v>257</v>
      </c>
      <c r="D9" s="20">
        <v>-0.38600957351773002</v>
      </c>
      <c r="E9" s="20">
        <v>0.212583855305151</v>
      </c>
      <c r="F9" s="20">
        <v>-1.8157991017880399</v>
      </c>
      <c r="G9" s="20">
        <v>-0.80752408877902004</v>
      </c>
      <c r="H9" s="20">
        <v>3.5504941743558602E-2</v>
      </c>
      <c r="I9" s="20">
        <v>7.2254966348921798E-2</v>
      </c>
      <c r="J9" s="20" t="s">
        <v>200</v>
      </c>
    </row>
    <row r="10" spans="1:10" hidden="1" x14ac:dyDescent="0.2">
      <c r="A10" s="131" t="s">
        <v>225</v>
      </c>
      <c r="B10" s="15" t="s">
        <v>18</v>
      </c>
      <c r="C10" s="11" t="s">
        <v>257</v>
      </c>
      <c r="D10" s="11">
        <v>-0.46018198919680903</v>
      </c>
      <c r="E10" s="11">
        <v>0.19311544789514801</v>
      </c>
      <c r="F10" s="11">
        <v>-2.3829372233683901</v>
      </c>
      <c r="G10" s="11">
        <v>-0.84309424888908102</v>
      </c>
      <c r="H10" s="11">
        <v>-7.7269729504536394E-2</v>
      </c>
      <c r="I10" s="11">
        <v>1.8972902701248798E-2</v>
      </c>
      <c r="J10" s="11" t="s">
        <v>61</v>
      </c>
    </row>
    <row r="11" spans="1:10" hidden="1" x14ac:dyDescent="0.2">
      <c r="A11" s="131" t="s">
        <v>225</v>
      </c>
      <c r="B11" s="34" t="s">
        <v>14</v>
      </c>
      <c r="C11" s="20" t="s">
        <v>257</v>
      </c>
      <c r="D11" s="20">
        <v>-0.34103115348155999</v>
      </c>
      <c r="E11" s="20">
        <v>0.194187329961618</v>
      </c>
      <c r="F11" s="20">
        <v>-1.75619672791715</v>
      </c>
      <c r="G11" s="20">
        <v>-0.72606875730693399</v>
      </c>
      <c r="H11" s="20">
        <v>4.4006450343813897E-2</v>
      </c>
      <c r="I11" s="20">
        <v>8.19705201867479E-2</v>
      </c>
      <c r="J11" s="20" t="s">
        <v>200</v>
      </c>
    </row>
    <row r="12" spans="1:10" x14ac:dyDescent="0.2">
      <c r="A12" s="132" t="s">
        <v>226</v>
      </c>
      <c r="B12" s="63" t="s">
        <v>252</v>
      </c>
      <c r="C12" t="s">
        <v>258</v>
      </c>
      <c r="D12">
        <v>-0.207100799997016</v>
      </c>
      <c r="E12">
        <v>0.28496710799779401</v>
      </c>
      <c r="F12">
        <v>-0.72675334866583796</v>
      </c>
      <c r="G12">
        <v>-0.77213793426424404</v>
      </c>
      <c r="H12">
        <v>0.35793633427021199</v>
      </c>
      <c r="I12">
        <v>0.46899420709862699</v>
      </c>
    </row>
    <row r="13" spans="1:10" x14ac:dyDescent="0.2">
      <c r="A13" s="132" t="s">
        <v>226</v>
      </c>
      <c r="B13" s="135" t="s">
        <v>253</v>
      </c>
      <c r="C13" t="s">
        <v>258</v>
      </c>
      <c r="D13">
        <v>5.6703584959313198E-3</v>
      </c>
      <c r="E13">
        <v>0.25710137519179199</v>
      </c>
      <c r="F13">
        <v>2.20549520270024E-2</v>
      </c>
      <c r="G13">
        <v>-0.504114175148066</v>
      </c>
      <c r="H13">
        <v>0.51545489213992901</v>
      </c>
      <c r="I13">
        <v>0.98244597883442497</v>
      </c>
    </row>
    <row r="14" spans="1:10" x14ac:dyDescent="0.2">
      <c r="A14" s="132" t="s">
        <v>226</v>
      </c>
      <c r="B14" s="136" t="s">
        <v>254</v>
      </c>
      <c r="C14" t="s">
        <v>258</v>
      </c>
      <c r="D14">
        <v>4.3228861565099398E-2</v>
      </c>
      <c r="E14">
        <v>0.23456342378057299</v>
      </c>
      <c r="F14">
        <v>0.18429498030152699</v>
      </c>
      <c r="G14">
        <v>-0.421867077780682</v>
      </c>
      <c r="H14">
        <v>0.50832480091088095</v>
      </c>
      <c r="I14">
        <v>0.85413751811222305</v>
      </c>
    </row>
    <row r="15" spans="1:10" x14ac:dyDescent="0.2">
      <c r="A15" s="132" t="s">
        <v>226</v>
      </c>
      <c r="B15" s="137" t="s">
        <v>255</v>
      </c>
      <c r="C15" t="s">
        <v>258</v>
      </c>
      <c r="D15">
        <v>0.21501559182640101</v>
      </c>
      <c r="E15">
        <v>0.229210368972321</v>
      </c>
      <c r="F15">
        <v>0.93807096419955305</v>
      </c>
      <c r="G15">
        <v>-0.23946622868411599</v>
      </c>
      <c r="H15">
        <v>0.66949741233691695</v>
      </c>
      <c r="I15">
        <v>0.35036074074823698</v>
      </c>
    </row>
    <row r="16" spans="1:10" hidden="1" x14ac:dyDescent="0.2">
      <c r="A16" s="132" t="s">
        <v>226</v>
      </c>
      <c r="B16" s="53" t="s">
        <v>26</v>
      </c>
      <c r="C16" t="s">
        <v>258</v>
      </c>
      <c r="D16">
        <v>-0.20337251201310999</v>
      </c>
      <c r="E16">
        <v>0.26237365217735098</v>
      </c>
      <c r="F16">
        <v>-0.77512551403462104</v>
      </c>
      <c r="G16">
        <v>-0.72361099699175102</v>
      </c>
      <c r="H16">
        <v>0.31686597296553098</v>
      </c>
      <c r="I16">
        <v>0.44000764987594698</v>
      </c>
    </row>
    <row r="17" spans="1:10" hidden="1" x14ac:dyDescent="0.2">
      <c r="A17" s="132" t="s">
        <v>226</v>
      </c>
      <c r="B17" s="127" t="s">
        <v>17</v>
      </c>
      <c r="C17" t="s">
        <v>258</v>
      </c>
      <c r="D17">
        <v>-0.113519056638336</v>
      </c>
      <c r="E17">
        <v>0.256510805704314</v>
      </c>
      <c r="F17">
        <v>-0.44255077803307902</v>
      </c>
      <c r="G17">
        <v>-0.62213260008232396</v>
      </c>
      <c r="H17">
        <v>0.39509448680565101</v>
      </c>
      <c r="I17">
        <v>0.65900100130684203</v>
      </c>
    </row>
    <row r="18" spans="1:10" hidden="1" x14ac:dyDescent="0.2">
      <c r="A18" s="132" t="s">
        <v>226</v>
      </c>
      <c r="B18" s="9" t="s">
        <v>21</v>
      </c>
      <c r="C18" t="s">
        <v>258</v>
      </c>
      <c r="D18">
        <v>1.13844916957507E-2</v>
      </c>
      <c r="E18">
        <v>0.25275986576409598</v>
      </c>
      <c r="F18">
        <v>4.50407411846626E-2</v>
      </c>
      <c r="G18">
        <v>-0.48979163074368398</v>
      </c>
      <c r="H18">
        <v>0.51256061413518605</v>
      </c>
      <c r="I18">
        <v>0.96416038349418798</v>
      </c>
    </row>
    <row r="19" spans="1:10" x14ac:dyDescent="0.2">
      <c r="A19" s="132" t="s">
        <v>226</v>
      </c>
      <c r="B19" s="36" t="s">
        <v>29</v>
      </c>
      <c r="C19" t="s">
        <v>258</v>
      </c>
      <c r="D19">
        <v>4.3898888935352598E-2</v>
      </c>
      <c r="E19">
        <v>0.24373001186764801</v>
      </c>
      <c r="F19">
        <v>0.18011277560348599</v>
      </c>
      <c r="G19">
        <v>-0.43937270127806899</v>
      </c>
      <c r="H19">
        <v>0.52717047914877402</v>
      </c>
      <c r="I19">
        <v>0.85741118589628995</v>
      </c>
    </row>
    <row r="20" spans="1:10" hidden="1" x14ac:dyDescent="0.2">
      <c r="A20" s="132" t="s">
        <v>226</v>
      </c>
      <c r="B20" s="15" t="s">
        <v>18</v>
      </c>
      <c r="C20" s="20" t="s">
        <v>258</v>
      </c>
      <c r="D20" s="20">
        <v>-0.43419679691184399</v>
      </c>
      <c r="E20" s="20">
        <v>0.21981798472413999</v>
      </c>
      <c r="F20" s="20">
        <v>-1.9752560167301001</v>
      </c>
      <c r="G20" s="20">
        <v>-0.87005525447771503</v>
      </c>
      <c r="H20" s="20">
        <v>1.66166065402795E-3</v>
      </c>
      <c r="I20" s="20">
        <v>5.08638506875837E-2</v>
      </c>
      <c r="J20" s="20" t="s">
        <v>200</v>
      </c>
    </row>
    <row r="21" spans="1:10" hidden="1" x14ac:dyDescent="0.2">
      <c r="A21" s="132" t="s">
        <v>226</v>
      </c>
      <c r="B21" s="34" t="s">
        <v>14</v>
      </c>
      <c r="C21" t="s">
        <v>258</v>
      </c>
      <c r="D21">
        <v>-0.22130735316455699</v>
      </c>
      <c r="E21">
        <v>0.221402680511156</v>
      </c>
      <c r="F21">
        <v>-0.99956943905837403</v>
      </c>
      <c r="G21">
        <v>-0.66030796974124195</v>
      </c>
      <c r="H21">
        <v>0.217693263412129</v>
      </c>
      <c r="I21">
        <v>0.31981691803754903</v>
      </c>
    </row>
    <row r="22" spans="1:10" x14ac:dyDescent="0.2">
      <c r="A22" s="31" t="s">
        <v>10</v>
      </c>
      <c r="B22" s="63" t="s">
        <v>252</v>
      </c>
      <c r="C22" s="20" t="s">
        <v>12</v>
      </c>
      <c r="D22" s="20">
        <v>-0.56873889960756097</v>
      </c>
      <c r="E22" s="20">
        <v>0.29151960777422098</v>
      </c>
      <c r="F22" s="20">
        <v>-1.9509456120291</v>
      </c>
      <c r="G22" s="20">
        <v>-1.1467684305130299</v>
      </c>
      <c r="H22" s="20">
        <v>9.2906312979064206E-3</v>
      </c>
      <c r="I22" s="20">
        <v>5.3728407350492197E-2</v>
      </c>
      <c r="J22" s="20" t="s">
        <v>200</v>
      </c>
    </row>
    <row r="23" spans="1:10" x14ac:dyDescent="0.2">
      <c r="A23" s="31" t="s">
        <v>10</v>
      </c>
      <c r="B23" s="135" t="s">
        <v>253</v>
      </c>
      <c r="C23" t="s">
        <v>12</v>
      </c>
      <c r="D23">
        <v>-0.35041112445122002</v>
      </c>
      <c r="E23">
        <v>0.26486909769200001</v>
      </c>
      <c r="F23">
        <v>-1.32295963366286</v>
      </c>
      <c r="G23">
        <v>-0.87559761691122995</v>
      </c>
      <c r="H23">
        <v>0.17477536800879101</v>
      </c>
      <c r="I23">
        <v>0.188722715830899</v>
      </c>
    </row>
    <row r="24" spans="1:10" x14ac:dyDescent="0.2">
      <c r="A24" s="31" t="s">
        <v>10</v>
      </c>
      <c r="B24" s="136" t="s">
        <v>254</v>
      </c>
      <c r="C24" t="s">
        <v>12</v>
      </c>
      <c r="D24">
        <v>-0.37066908223268302</v>
      </c>
      <c r="E24">
        <v>0.240995013206905</v>
      </c>
      <c r="F24">
        <v>-1.5380778104086601</v>
      </c>
      <c r="G24">
        <v>-0.848517675327774</v>
      </c>
      <c r="H24">
        <v>0.107179510862409</v>
      </c>
      <c r="I24">
        <v>0.12703774274535201</v>
      </c>
    </row>
    <row r="25" spans="1:10" x14ac:dyDescent="0.2">
      <c r="A25" s="31" t="s">
        <v>10</v>
      </c>
      <c r="B25" s="137" t="s">
        <v>255</v>
      </c>
      <c r="C25" t="s">
        <v>12</v>
      </c>
      <c r="D25">
        <v>3.01797895658532E-2</v>
      </c>
      <c r="E25">
        <v>0.23907227103986101</v>
      </c>
      <c r="F25">
        <v>0.126237097403995</v>
      </c>
      <c r="G25">
        <v>-0.44385636099285303</v>
      </c>
      <c r="H25">
        <v>0.50421594012455895</v>
      </c>
      <c r="I25">
        <v>0.89978565634823404</v>
      </c>
    </row>
    <row r="26" spans="1:10" hidden="1" x14ac:dyDescent="0.2">
      <c r="A26" s="31" t="s">
        <v>10</v>
      </c>
      <c r="B26" s="53" t="s">
        <v>26</v>
      </c>
      <c r="C26" s="20" t="s">
        <v>12</v>
      </c>
      <c r="D26" s="20">
        <v>-0.47380184888878102</v>
      </c>
      <c r="E26" s="20">
        <v>0.26938266661091498</v>
      </c>
      <c r="F26" s="20">
        <v>-1.7588431165584999</v>
      </c>
      <c r="G26" s="20">
        <v>-1.0079379147405401</v>
      </c>
      <c r="H26" s="20">
        <v>6.03342169629816E-2</v>
      </c>
      <c r="I26" s="20">
        <v>8.1517414325397705E-2</v>
      </c>
      <c r="J26" s="20" t="s">
        <v>200</v>
      </c>
    </row>
    <row r="27" spans="1:10" hidden="1" x14ac:dyDescent="0.2">
      <c r="A27" s="31" t="s">
        <v>10</v>
      </c>
      <c r="B27" s="127" t="s">
        <v>17</v>
      </c>
      <c r="C27" s="11" t="s">
        <v>12</v>
      </c>
      <c r="D27" s="11">
        <v>-0.60825251854585405</v>
      </c>
      <c r="E27" s="11">
        <v>0.26001214840498199</v>
      </c>
      <c r="F27" s="11">
        <v>-2.3393234596041599</v>
      </c>
      <c r="G27" s="11">
        <v>-1.12380857777552</v>
      </c>
      <c r="H27" s="11">
        <v>-9.2696459316190499E-2</v>
      </c>
      <c r="I27" s="11">
        <v>2.1211129463681699E-2</v>
      </c>
      <c r="J27" s="11" t="s">
        <v>61</v>
      </c>
    </row>
    <row r="28" spans="1:10" hidden="1" x14ac:dyDescent="0.2">
      <c r="A28" s="31" t="s">
        <v>10</v>
      </c>
      <c r="B28" s="9" t="s">
        <v>21</v>
      </c>
      <c r="C28" s="11" t="s">
        <v>12</v>
      </c>
      <c r="D28" s="11">
        <v>-0.54720705988097595</v>
      </c>
      <c r="E28" s="11">
        <v>0.25707156396108699</v>
      </c>
      <c r="F28" s="11">
        <v>-2.1286176170142501</v>
      </c>
      <c r="G28" s="11">
        <v>-1.0569324833614</v>
      </c>
      <c r="H28" s="11">
        <v>-3.7481636400552701E-2</v>
      </c>
      <c r="I28" s="11">
        <v>3.5624772451653602E-2</v>
      </c>
      <c r="J28" s="11" t="s">
        <v>61</v>
      </c>
    </row>
    <row r="29" spans="1:10" x14ac:dyDescent="0.2">
      <c r="A29" s="31" t="s">
        <v>10</v>
      </c>
      <c r="B29" s="36" t="s">
        <v>29</v>
      </c>
      <c r="C29" t="s">
        <v>12</v>
      </c>
      <c r="D29">
        <v>-0.40181288445121999</v>
      </c>
      <c r="E29">
        <v>0.25016166631189002</v>
      </c>
      <c r="F29">
        <v>-1.6062128557708699</v>
      </c>
      <c r="G29">
        <v>-0.89783725733245401</v>
      </c>
      <c r="H29">
        <v>9.4211488430015103E-2</v>
      </c>
      <c r="I29">
        <v>0.11123047904258999</v>
      </c>
    </row>
    <row r="30" spans="1:10" hidden="1" x14ac:dyDescent="0.2">
      <c r="A30" s="31" t="s">
        <v>10</v>
      </c>
      <c r="B30" s="15" t="s">
        <v>18</v>
      </c>
      <c r="C30" s="20" t="s">
        <v>12</v>
      </c>
      <c r="D30" s="20">
        <v>-0.39020540012731703</v>
      </c>
      <c r="E30" s="20">
        <v>0.229402887404769</v>
      </c>
      <c r="F30" s="20">
        <v>-1.7009611541585401</v>
      </c>
      <c r="G30" s="20">
        <v>-0.84506894912617803</v>
      </c>
      <c r="H30" s="20">
        <v>6.46581488715436E-2</v>
      </c>
      <c r="I30" s="20">
        <v>9.1910082649873895E-2</v>
      </c>
      <c r="J30" s="20" t="s">
        <v>200</v>
      </c>
    </row>
    <row r="31" spans="1:10" hidden="1" x14ac:dyDescent="0.2">
      <c r="A31" s="31" t="s">
        <v>10</v>
      </c>
      <c r="B31" s="34" t="s">
        <v>14</v>
      </c>
      <c r="C31" t="s">
        <v>12</v>
      </c>
      <c r="D31">
        <v>-0.301015064041464</v>
      </c>
      <c r="E31">
        <v>0.22920124320471599</v>
      </c>
      <c r="F31">
        <v>-1.3133221261483501</v>
      </c>
      <c r="G31">
        <v>-0.75547878984058903</v>
      </c>
      <c r="H31">
        <v>0.153448661757661</v>
      </c>
      <c r="I31">
        <v>0.19193714216093899</v>
      </c>
    </row>
    <row r="32" spans="1:10" hidden="1" x14ac:dyDescent="0.2">
      <c r="A32" s="70" t="s">
        <v>275</v>
      </c>
      <c r="B32" s="63" t="s">
        <v>252</v>
      </c>
      <c r="C32" t="s">
        <v>275</v>
      </c>
      <c r="D32">
        <v>0.192592380431585</v>
      </c>
      <c r="E32">
        <v>0.11686172143804199</v>
      </c>
      <c r="F32">
        <v>1.6480364833038501</v>
      </c>
      <c r="G32">
        <v>-3.9122825757747302E-2</v>
      </c>
      <c r="H32">
        <v>0.424307586620917</v>
      </c>
      <c r="I32">
        <v>0.102334463527091</v>
      </c>
    </row>
    <row r="33" spans="1:9" hidden="1" x14ac:dyDescent="0.2">
      <c r="A33" s="70" t="s">
        <v>275</v>
      </c>
      <c r="B33" s="135" t="s">
        <v>253</v>
      </c>
      <c r="C33" t="s">
        <v>275</v>
      </c>
      <c r="D33">
        <v>0.12641586051404599</v>
      </c>
      <c r="E33">
        <v>0.105805082218797</v>
      </c>
      <c r="F33">
        <v>1.1947995111674099</v>
      </c>
      <c r="G33">
        <v>-8.3376072554524602E-2</v>
      </c>
      <c r="H33">
        <v>0.33620779358261699</v>
      </c>
      <c r="I33">
        <v>0.23485721795765099</v>
      </c>
    </row>
    <row r="34" spans="1:9" hidden="1" x14ac:dyDescent="0.2">
      <c r="A34" s="70" t="s">
        <v>275</v>
      </c>
      <c r="B34" s="136" t="s">
        <v>254</v>
      </c>
      <c r="C34" t="s">
        <v>275</v>
      </c>
      <c r="D34">
        <v>3.09819650777589E-2</v>
      </c>
      <c r="E34">
        <v>9.7152460510069094E-2</v>
      </c>
      <c r="F34">
        <v>0.31890046752390699</v>
      </c>
      <c r="G34">
        <v>-0.161653417508376</v>
      </c>
      <c r="H34">
        <v>0.22361734766389399</v>
      </c>
      <c r="I34">
        <v>0.75043550823871596</v>
      </c>
    </row>
    <row r="35" spans="1:9" hidden="1" x14ac:dyDescent="0.2">
      <c r="A35" s="70" t="s">
        <v>275</v>
      </c>
      <c r="B35" s="137" t="s">
        <v>255</v>
      </c>
      <c r="C35" t="s">
        <v>275</v>
      </c>
      <c r="D35">
        <v>-1.9587616941643699E-3</v>
      </c>
      <c r="E35">
        <v>9.5362835420473996E-2</v>
      </c>
      <c r="F35">
        <v>-2.0540094949230401E-2</v>
      </c>
      <c r="G35">
        <v>-0.19104564831828399</v>
      </c>
      <c r="H35">
        <v>0.18712812492995501</v>
      </c>
      <c r="I35">
        <v>0.98365150940697399</v>
      </c>
    </row>
    <row r="36" spans="1:9" hidden="1" x14ac:dyDescent="0.2">
      <c r="A36" s="70" t="s">
        <v>275</v>
      </c>
      <c r="B36" s="53" t="s">
        <v>26</v>
      </c>
      <c r="C36" t="s">
        <v>275</v>
      </c>
      <c r="D36">
        <v>0.14047952075376399</v>
      </c>
      <c r="E36">
        <v>0.108151171425166</v>
      </c>
      <c r="F36">
        <v>1.29891816151956</v>
      </c>
      <c r="G36">
        <v>-7.3964273826882795E-2</v>
      </c>
      <c r="H36">
        <v>0.35492331533441002</v>
      </c>
      <c r="I36">
        <v>0.196817210936825</v>
      </c>
    </row>
    <row r="37" spans="1:9" hidden="1" x14ac:dyDescent="0.2">
      <c r="A37" s="70" t="s">
        <v>275</v>
      </c>
      <c r="B37" s="127" t="s">
        <v>17</v>
      </c>
      <c r="C37" t="s">
        <v>275</v>
      </c>
      <c r="D37">
        <v>0.14014459707356799</v>
      </c>
      <c r="E37">
        <v>0.105493172437939</v>
      </c>
      <c r="F37">
        <v>1.32847078000251</v>
      </c>
      <c r="G37">
        <v>-6.9028876517471693E-2</v>
      </c>
      <c r="H37">
        <v>0.34931807066460802</v>
      </c>
      <c r="I37">
        <v>0.186902755872106</v>
      </c>
    </row>
    <row r="38" spans="1:9" hidden="1" x14ac:dyDescent="0.2">
      <c r="A38" s="70" t="s">
        <v>275</v>
      </c>
      <c r="B38" s="9" t="s">
        <v>21</v>
      </c>
      <c r="C38" t="s">
        <v>275</v>
      </c>
      <c r="D38">
        <v>0.112233708300326</v>
      </c>
      <c r="E38">
        <v>0.104149553836187</v>
      </c>
      <c r="F38">
        <v>1.07762063461985</v>
      </c>
      <c r="G38">
        <v>-9.4275617805004597E-2</v>
      </c>
      <c r="H38">
        <v>0.31874303440565599</v>
      </c>
      <c r="I38">
        <v>0.28367263112302699</v>
      </c>
    </row>
    <row r="39" spans="1:9" hidden="1" x14ac:dyDescent="0.2">
      <c r="A39" s="70" t="s">
        <v>275</v>
      </c>
      <c r="B39" s="36" t="s">
        <v>29</v>
      </c>
      <c r="C39" t="s">
        <v>275</v>
      </c>
      <c r="D39">
        <v>9.1462820222256894E-2</v>
      </c>
      <c r="E39">
        <v>0.100602064351604</v>
      </c>
      <c r="F39">
        <v>0.90915450703470801</v>
      </c>
      <c r="G39">
        <v>-0.108012489549417</v>
      </c>
      <c r="H39">
        <v>0.29093812999392998</v>
      </c>
      <c r="I39">
        <v>0.36535071193823299</v>
      </c>
    </row>
    <row r="40" spans="1:9" hidden="1" x14ac:dyDescent="0.2">
      <c r="A40" s="70" t="s">
        <v>275</v>
      </c>
      <c r="B40" s="15" t="s">
        <v>18</v>
      </c>
      <c r="C40" t="s">
        <v>275</v>
      </c>
      <c r="D40">
        <v>0.12215557152809201</v>
      </c>
      <c r="E40">
        <v>9.1981848776815506E-2</v>
      </c>
      <c r="F40">
        <v>1.3280399682386299</v>
      </c>
      <c r="G40">
        <v>-6.0227443138483702E-2</v>
      </c>
      <c r="H40">
        <v>0.304538586194668</v>
      </c>
      <c r="I40">
        <v>0.187044548467063</v>
      </c>
    </row>
    <row r="41" spans="1:9" hidden="1" x14ac:dyDescent="0.2">
      <c r="A41" s="70" t="s">
        <v>275</v>
      </c>
      <c r="B41" s="34" t="s">
        <v>14</v>
      </c>
      <c r="C41" t="s">
        <v>275</v>
      </c>
      <c r="D41">
        <v>8.7658812883439297E-2</v>
      </c>
      <c r="E41">
        <v>9.1768590240566605E-2</v>
      </c>
      <c r="F41">
        <v>0.955215860390208</v>
      </c>
      <c r="G41">
        <v>-9.4301349500195406E-2</v>
      </c>
      <c r="H41">
        <v>0.26961897526707401</v>
      </c>
      <c r="I41">
        <v>0.34166257332238098</v>
      </c>
    </row>
    <row r="42" spans="1:9" hidden="1" x14ac:dyDescent="0.2">
      <c r="A42" s="133" t="s">
        <v>262</v>
      </c>
      <c r="B42" s="63" t="s">
        <v>252</v>
      </c>
      <c r="C42" t="s">
        <v>262</v>
      </c>
      <c r="D42">
        <v>9.1265332571501503E-2</v>
      </c>
      <c r="E42">
        <v>5.9611591386552601E-2</v>
      </c>
      <c r="F42">
        <v>1.5309997678084</v>
      </c>
      <c r="G42">
        <v>-2.6933441324984299E-2</v>
      </c>
      <c r="H42">
        <v>0.20946410646798699</v>
      </c>
      <c r="I42">
        <v>0.12877679862469699</v>
      </c>
    </row>
    <row r="43" spans="1:9" hidden="1" x14ac:dyDescent="0.2">
      <c r="A43" s="133" t="s">
        <v>262</v>
      </c>
      <c r="B43" s="135" t="s">
        <v>253</v>
      </c>
      <c r="C43" t="s">
        <v>262</v>
      </c>
      <c r="D43">
        <v>3.7745638708717298E-2</v>
      </c>
      <c r="E43">
        <v>5.4118066901354303E-2</v>
      </c>
      <c r="F43">
        <v>0.69746834781662803</v>
      </c>
      <c r="G43">
        <v>-6.9560490931550298E-2</v>
      </c>
      <c r="H43">
        <v>0.14505176834898501</v>
      </c>
      <c r="I43">
        <v>0.48705125996304699</v>
      </c>
    </row>
    <row r="44" spans="1:9" hidden="1" x14ac:dyDescent="0.2">
      <c r="A44" s="133" t="s">
        <v>262</v>
      </c>
      <c r="B44" s="136" t="s">
        <v>254</v>
      </c>
      <c r="C44" t="s">
        <v>262</v>
      </c>
      <c r="D44">
        <v>-5.7169724050992396E-3</v>
      </c>
      <c r="E44">
        <v>4.9492969722594399E-2</v>
      </c>
      <c r="F44">
        <v>-0.11551079753634901</v>
      </c>
      <c r="G44">
        <v>-0.103852388716535</v>
      </c>
      <c r="H44">
        <v>9.2418443906336897E-2</v>
      </c>
      <c r="I44">
        <v>0.90826088223018997</v>
      </c>
    </row>
    <row r="45" spans="1:9" ht="17" hidden="1" customHeight="1" x14ac:dyDescent="0.2">
      <c r="A45" s="133" t="s">
        <v>262</v>
      </c>
      <c r="B45" s="137" t="s">
        <v>255</v>
      </c>
      <c r="C45" t="s">
        <v>262</v>
      </c>
      <c r="D45">
        <v>-4.1190889115588301E-3</v>
      </c>
      <c r="E45">
        <v>4.8559279411811498E-2</v>
      </c>
      <c r="F45">
        <v>-8.4825989212618094E-2</v>
      </c>
      <c r="G45">
        <v>-0.10040316981378</v>
      </c>
      <c r="H45">
        <v>9.2164991990662401E-2</v>
      </c>
      <c r="I45">
        <v>0.93256125855868799</v>
      </c>
    </row>
    <row r="46" spans="1:9" hidden="1" x14ac:dyDescent="0.2">
      <c r="A46" s="133" t="s">
        <v>262</v>
      </c>
      <c r="B46" s="53" t="s">
        <v>26</v>
      </c>
      <c r="C46" t="s">
        <v>262</v>
      </c>
      <c r="D46">
        <v>6.5983933786090895E-2</v>
      </c>
      <c r="E46">
        <v>5.5138915875616999E-2</v>
      </c>
      <c r="F46">
        <v>1.19668536709967</v>
      </c>
      <c r="G46">
        <v>-4.3346350792582901E-2</v>
      </c>
      <c r="H46">
        <v>0.17531421836476499</v>
      </c>
      <c r="I46">
        <v>0.234124232431973</v>
      </c>
    </row>
    <row r="47" spans="1:9" hidden="1" x14ac:dyDescent="0.2">
      <c r="A47" s="133" t="s">
        <v>262</v>
      </c>
      <c r="B47" s="127" t="s">
        <v>17</v>
      </c>
      <c r="C47" t="s">
        <v>262</v>
      </c>
      <c r="D47">
        <v>7.3599483298909293E-2</v>
      </c>
      <c r="E47">
        <v>5.3690710177365E-2</v>
      </c>
      <c r="F47">
        <v>1.37080480134788</v>
      </c>
      <c r="G47">
        <v>-3.2859276901673298E-2</v>
      </c>
      <c r="H47">
        <v>0.18005824349949201</v>
      </c>
      <c r="I47">
        <v>0.17335893813952499</v>
      </c>
    </row>
    <row r="48" spans="1:9" hidden="1" x14ac:dyDescent="0.2">
      <c r="A48" s="133" t="s">
        <v>262</v>
      </c>
      <c r="B48" s="9" t="s">
        <v>21</v>
      </c>
      <c r="C48" t="s">
        <v>262</v>
      </c>
      <c r="D48">
        <v>4.9783843957580301E-2</v>
      </c>
      <c r="E48">
        <v>5.3105932139003401E-2</v>
      </c>
      <c r="F48">
        <v>0.93744412257509002</v>
      </c>
      <c r="G48">
        <v>-5.5515409416758997E-2</v>
      </c>
      <c r="H48">
        <v>0.15508309733191999</v>
      </c>
      <c r="I48">
        <v>0.35068143492405102</v>
      </c>
    </row>
    <row r="49" spans="1:10" hidden="1" x14ac:dyDescent="0.2">
      <c r="A49" s="133" t="s">
        <v>262</v>
      </c>
      <c r="B49" s="36" t="s">
        <v>29</v>
      </c>
      <c r="C49" t="s">
        <v>262</v>
      </c>
      <c r="D49">
        <v>5.0846245956433403E-2</v>
      </c>
      <c r="E49">
        <v>5.1190081153495597E-2</v>
      </c>
      <c r="F49">
        <v>0.99328316757242197</v>
      </c>
      <c r="G49">
        <v>-5.06542288215256E-2</v>
      </c>
      <c r="H49">
        <v>0.15234672073439201</v>
      </c>
      <c r="I49">
        <v>0.32285549675244701</v>
      </c>
    </row>
    <row r="50" spans="1:10" hidden="1" x14ac:dyDescent="0.2">
      <c r="A50" s="133" t="s">
        <v>262</v>
      </c>
      <c r="B50" s="15" t="s">
        <v>18</v>
      </c>
      <c r="C50" s="11" t="s">
        <v>262</v>
      </c>
      <c r="D50" s="11">
        <v>0.114233113253391</v>
      </c>
      <c r="E50" s="11">
        <v>4.5896418062569798E-2</v>
      </c>
      <c r="F50" s="11">
        <v>2.48893308182915</v>
      </c>
      <c r="G50" s="11">
        <v>2.32289945064444E-2</v>
      </c>
      <c r="H50" s="11">
        <v>0.205237232000337</v>
      </c>
      <c r="I50" s="11">
        <v>1.438332398049E-2</v>
      </c>
      <c r="J50" s="11" t="s">
        <v>61</v>
      </c>
    </row>
    <row r="51" spans="1:10" hidden="1" x14ac:dyDescent="0.2">
      <c r="A51" s="133" t="s">
        <v>262</v>
      </c>
      <c r="B51" s="34" t="s">
        <v>14</v>
      </c>
      <c r="C51" s="20" t="s">
        <v>262</v>
      </c>
      <c r="D51" s="20">
        <v>9.1337463538254005E-2</v>
      </c>
      <c r="E51" s="20">
        <v>4.6078961128203998E-2</v>
      </c>
      <c r="F51" s="20">
        <v>1.98219450486587</v>
      </c>
      <c r="G51" s="114">
        <v>-2.8604387357231098E-5</v>
      </c>
      <c r="H51" s="20">
        <v>0.182703531463865</v>
      </c>
      <c r="I51" s="20">
        <v>5.00704664483883E-2</v>
      </c>
      <c r="J51" s="20" t="s">
        <v>200</v>
      </c>
    </row>
    <row r="52" spans="1:10" hidden="1" x14ac:dyDescent="0.2">
      <c r="A52" s="134" t="s">
        <v>263</v>
      </c>
      <c r="B52" s="63" t="s">
        <v>252</v>
      </c>
      <c r="C52" t="s">
        <v>274</v>
      </c>
      <c r="D52">
        <v>-0.31382322223053899</v>
      </c>
      <c r="E52">
        <v>0.249280849414525</v>
      </c>
      <c r="F52">
        <v>-1.25891428470178</v>
      </c>
      <c r="G52">
        <v>-0.80810109791426199</v>
      </c>
      <c r="H52">
        <v>0.18045465345318501</v>
      </c>
      <c r="I52">
        <v>0.21085299281966499</v>
      </c>
    </row>
    <row r="53" spans="1:10" hidden="1" x14ac:dyDescent="0.2">
      <c r="A53" s="134" t="s">
        <v>263</v>
      </c>
      <c r="B53" s="135" t="s">
        <v>253</v>
      </c>
      <c r="C53" t="s">
        <v>274</v>
      </c>
      <c r="D53">
        <v>2.74043173113208E-2</v>
      </c>
      <c r="E53">
        <v>0.22601265124761999</v>
      </c>
      <c r="F53">
        <v>0.121251253680028</v>
      </c>
      <c r="G53">
        <v>-0.42073701965337401</v>
      </c>
      <c r="H53">
        <v>0.47554565427601497</v>
      </c>
      <c r="I53">
        <v>0.90372376542908495</v>
      </c>
    </row>
    <row r="54" spans="1:10" hidden="1" x14ac:dyDescent="0.2">
      <c r="A54" s="134" t="s">
        <v>263</v>
      </c>
      <c r="B54" s="136" t="s">
        <v>254</v>
      </c>
      <c r="C54" t="s">
        <v>274</v>
      </c>
      <c r="D54">
        <v>0.22511480632355099</v>
      </c>
      <c r="E54">
        <v>0.205073921079508</v>
      </c>
      <c r="F54">
        <v>1.0977251770412699</v>
      </c>
      <c r="G54">
        <v>-0.181508896649938</v>
      </c>
      <c r="H54">
        <v>0.63173850929704001</v>
      </c>
      <c r="I54">
        <v>0.27483546505372503</v>
      </c>
    </row>
    <row r="55" spans="1:10" hidden="1" x14ac:dyDescent="0.2">
      <c r="A55" s="134" t="s">
        <v>263</v>
      </c>
      <c r="B55" s="137" t="s">
        <v>255</v>
      </c>
      <c r="C55" t="s">
        <v>274</v>
      </c>
      <c r="D55">
        <v>5.8134590067785298E-2</v>
      </c>
      <c r="E55">
        <v>0.202270949300733</v>
      </c>
      <c r="F55">
        <v>0.28740948845477499</v>
      </c>
      <c r="G55">
        <v>-0.34293133765073203</v>
      </c>
      <c r="H55">
        <v>0.459200517786302</v>
      </c>
      <c r="I55">
        <v>0.774365254605484</v>
      </c>
    </row>
    <row r="56" spans="1:10" hidden="1" x14ac:dyDescent="0.2">
      <c r="A56" s="134" t="s">
        <v>263</v>
      </c>
      <c r="B56" s="53" t="s">
        <v>26</v>
      </c>
      <c r="C56" t="s">
        <v>274</v>
      </c>
      <c r="D56">
        <v>-0.202584022295248</v>
      </c>
      <c r="E56">
        <v>0.230475624765378</v>
      </c>
      <c r="F56">
        <v>-0.878982419513895</v>
      </c>
      <c r="G56">
        <v>-0.65957461131749595</v>
      </c>
      <c r="H56">
        <v>0.25440656672699902</v>
      </c>
      <c r="I56">
        <v>0.381417919663119</v>
      </c>
    </row>
    <row r="57" spans="1:10" hidden="1" x14ac:dyDescent="0.2">
      <c r="A57" s="134" t="s">
        <v>263</v>
      </c>
      <c r="B57" s="127" t="s">
        <v>17</v>
      </c>
      <c r="C57" t="s">
        <v>274</v>
      </c>
      <c r="D57">
        <v>-0.22611597192767299</v>
      </c>
      <c r="E57">
        <v>0.224637748067263</v>
      </c>
      <c r="F57">
        <v>-1.0065804784508801</v>
      </c>
      <c r="G57">
        <v>-0.67153112986636698</v>
      </c>
      <c r="H57">
        <v>0.21929918601102</v>
      </c>
      <c r="I57">
        <v>0.31645046149995898</v>
      </c>
    </row>
    <row r="58" spans="1:10" hidden="1" x14ac:dyDescent="0.2">
      <c r="A58" s="134" t="s">
        <v>263</v>
      </c>
      <c r="B58" s="9" t="s">
        <v>21</v>
      </c>
      <c r="C58" t="s">
        <v>274</v>
      </c>
      <c r="D58">
        <v>-9.8529224816911704E-2</v>
      </c>
      <c r="E58">
        <v>0.22200517008052301</v>
      </c>
      <c r="F58">
        <v>-0.44381500116044398</v>
      </c>
      <c r="G58">
        <v>-0.53872446691403897</v>
      </c>
      <c r="H58">
        <v>0.34166601728021601</v>
      </c>
      <c r="I58">
        <v>0.65808959158680302</v>
      </c>
    </row>
    <row r="59" spans="1:10" hidden="1" x14ac:dyDescent="0.2">
      <c r="A59" s="134" t="s">
        <v>263</v>
      </c>
      <c r="B59" s="36" t="s">
        <v>29</v>
      </c>
      <c r="C59" s="11" t="s">
        <v>274</v>
      </c>
      <c r="D59" s="11">
        <v>-0.440820032954927</v>
      </c>
      <c r="E59" s="11">
        <v>0.20994348848276401</v>
      </c>
      <c r="F59" s="11">
        <v>-2.0997080506791601</v>
      </c>
      <c r="G59" s="11">
        <v>-0.857099188552367</v>
      </c>
      <c r="H59" s="11">
        <v>-2.4540877357487698E-2</v>
      </c>
      <c r="I59" s="11">
        <v>3.8150901202082303E-2</v>
      </c>
      <c r="J59" s="11" t="s">
        <v>61</v>
      </c>
    </row>
    <row r="60" spans="1:10" hidden="1" x14ac:dyDescent="0.2">
      <c r="A60" s="134" t="s">
        <v>263</v>
      </c>
      <c r="B60" s="15" t="s">
        <v>18</v>
      </c>
      <c r="C60" s="11" t="s">
        <v>274</v>
      </c>
      <c r="D60" s="11">
        <v>-0.41051195673585</v>
      </c>
      <c r="E60" s="11">
        <v>0.192687762630849</v>
      </c>
      <c r="F60" s="11">
        <v>-2.13045162355384</v>
      </c>
      <c r="G60" s="11">
        <v>-0.79257619555369196</v>
      </c>
      <c r="H60" s="11">
        <v>-2.8447717918007199E-2</v>
      </c>
      <c r="I60" s="11">
        <v>3.5469514838424303E-2</v>
      </c>
      <c r="J60" s="11" t="s">
        <v>61</v>
      </c>
    </row>
    <row r="61" spans="1:10" hidden="1" x14ac:dyDescent="0.2">
      <c r="A61" s="134" t="s">
        <v>263</v>
      </c>
      <c r="B61" s="34" t="s">
        <v>14</v>
      </c>
      <c r="C61" s="20" t="s">
        <v>274</v>
      </c>
      <c r="D61" s="20">
        <v>-0.33468338341020298</v>
      </c>
      <c r="E61" s="20">
        <v>0.19282099807106601</v>
      </c>
      <c r="F61" s="20">
        <v>-1.73572062564915</v>
      </c>
      <c r="G61" s="20">
        <v>-0.71701180349391702</v>
      </c>
      <c r="H61" s="20">
        <v>4.76450366735112E-2</v>
      </c>
      <c r="I61" s="20">
        <v>8.5546832345276394E-2</v>
      </c>
      <c r="J61" s="20" t="s">
        <v>200</v>
      </c>
    </row>
    <row r="62" spans="1:10" x14ac:dyDescent="0.2">
      <c r="A62" s="196" t="s">
        <v>280</v>
      </c>
      <c r="B62" s="63" t="s">
        <v>252</v>
      </c>
      <c r="C62" t="s">
        <v>286</v>
      </c>
      <c r="D62">
        <v>-0.39690580169554301</v>
      </c>
      <c r="E62">
        <v>0.27409135891533898</v>
      </c>
      <c r="F62">
        <v>-1.44807849202622</v>
      </c>
      <c r="G62">
        <v>-0.94037833456811704</v>
      </c>
      <c r="H62">
        <v>0.14656673117703201</v>
      </c>
      <c r="I62">
        <v>0.150574588379015</v>
      </c>
    </row>
    <row r="63" spans="1:10" x14ac:dyDescent="0.2">
      <c r="A63" s="196" t="s">
        <v>280</v>
      </c>
      <c r="B63" s="135" t="s">
        <v>253</v>
      </c>
      <c r="C63" t="s">
        <v>286</v>
      </c>
      <c r="D63">
        <v>-0.371445443634974</v>
      </c>
      <c r="E63">
        <v>0.24646957637581501</v>
      </c>
      <c r="F63">
        <v>-1.50706407296532</v>
      </c>
      <c r="G63">
        <v>-0.86014908419873504</v>
      </c>
      <c r="H63">
        <v>0.117258196928788</v>
      </c>
      <c r="I63">
        <v>0.13479703311934699</v>
      </c>
    </row>
    <row r="64" spans="1:10" x14ac:dyDescent="0.2">
      <c r="A64" s="196" t="s">
        <v>280</v>
      </c>
      <c r="B64" s="136" t="s">
        <v>254</v>
      </c>
      <c r="C64" t="s">
        <v>286</v>
      </c>
      <c r="D64">
        <v>-0.12889136367232601</v>
      </c>
      <c r="E64">
        <v>0.22697056700309301</v>
      </c>
      <c r="F64">
        <v>-0.56787699556907401</v>
      </c>
      <c r="G64">
        <v>-0.57893207062798002</v>
      </c>
      <c r="H64">
        <v>0.321149343283329</v>
      </c>
      <c r="I64">
        <v>0.57133082382934397</v>
      </c>
    </row>
    <row r="65" spans="1:10" x14ac:dyDescent="0.2">
      <c r="A65" s="196" t="s">
        <v>280</v>
      </c>
      <c r="B65" s="137" t="s">
        <v>255</v>
      </c>
      <c r="C65" t="s">
        <v>286</v>
      </c>
      <c r="D65">
        <v>2.4328723957555198E-2</v>
      </c>
      <c r="E65">
        <v>0.22301128371512999</v>
      </c>
      <c r="F65">
        <v>0.10909189684156199</v>
      </c>
      <c r="G65">
        <v>-0.417861455621445</v>
      </c>
      <c r="H65">
        <v>0.46651890353655501</v>
      </c>
      <c r="I65">
        <v>0.913337815656177</v>
      </c>
    </row>
    <row r="66" spans="1:10" hidden="1" x14ac:dyDescent="0.2">
      <c r="A66" s="196" t="s">
        <v>280</v>
      </c>
      <c r="B66" s="53" t="s">
        <v>26</v>
      </c>
      <c r="C66" t="s">
        <v>286</v>
      </c>
      <c r="D66">
        <v>-0.36130536612436298</v>
      </c>
      <c r="E66">
        <v>0.25250540326832399</v>
      </c>
      <c r="F66">
        <v>-1.43088172153062</v>
      </c>
      <c r="G66">
        <v>-0.86197693644057405</v>
      </c>
      <c r="H66">
        <v>0.139366204191848</v>
      </c>
      <c r="I66">
        <v>0.15543357757967999</v>
      </c>
    </row>
    <row r="67" spans="1:10" hidden="1" x14ac:dyDescent="0.2">
      <c r="A67" s="196" t="s">
        <v>280</v>
      </c>
      <c r="B67" s="127" t="s">
        <v>17</v>
      </c>
      <c r="C67" s="11" t="s">
        <v>286</v>
      </c>
      <c r="D67" s="11">
        <v>-0.530296838780559</v>
      </c>
      <c r="E67" s="11">
        <v>0.243337602897153</v>
      </c>
      <c r="F67" s="11">
        <v>-2.1792638394843098</v>
      </c>
      <c r="G67" s="11">
        <v>-1.01279035449371</v>
      </c>
      <c r="H67" s="11">
        <v>-4.78033230674096E-2</v>
      </c>
      <c r="I67" s="11">
        <v>3.15472070983467E-2</v>
      </c>
      <c r="J67" s="11" t="s">
        <v>61</v>
      </c>
    </row>
    <row r="68" spans="1:10" hidden="1" x14ac:dyDescent="0.2">
      <c r="A68" s="196" t="s">
        <v>280</v>
      </c>
      <c r="B68" s="9" t="s">
        <v>21</v>
      </c>
      <c r="C68" s="20" t="s">
        <v>286</v>
      </c>
      <c r="D68" s="20">
        <v>-0.45010165126273299</v>
      </c>
      <c r="E68" s="20">
        <v>0.24094485691265399</v>
      </c>
      <c r="F68" s="20">
        <v>-1.8680691384332</v>
      </c>
      <c r="G68" s="20">
        <v>-0.92785079369150603</v>
      </c>
      <c r="H68" s="20">
        <v>2.7647491166040299E-2</v>
      </c>
      <c r="I68" s="20">
        <v>6.4540597243478395E-2</v>
      </c>
      <c r="J68" s="20" t="s">
        <v>200</v>
      </c>
    </row>
    <row r="69" spans="1:10" x14ac:dyDescent="0.2">
      <c r="A69" s="196" t="s">
        <v>280</v>
      </c>
      <c r="B69" s="36" t="s">
        <v>29</v>
      </c>
      <c r="C69" t="s">
        <v>286</v>
      </c>
      <c r="D69">
        <v>3.9383840149405998E-2</v>
      </c>
      <c r="E69">
        <v>0.23616933305592</v>
      </c>
      <c r="F69">
        <v>0.16676102540409299</v>
      </c>
      <c r="G69">
        <v>-0.42889632063586097</v>
      </c>
      <c r="H69">
        <v>0.50766400093467301</v>
      </c>
      <c r="I69">
        <v>0.86787880606622703</v>
      </c>
    </row>
    <row r="70" spans="1:10" hidden="1" x14ac:dyDescent="0.2">
      <c r="A70" s="196" t="s">
        <v>280</v>
      </c>
      <c r="B70" s="15" t="s">
        <v>18</v>
      </c>
      <c r="C70" s="20" t="s">
        <v>286</v>
      </c>
      <c r="D70" s="20">
        <v>-0.41510560222113702</v>
      </c>
      <c r="E70" s="20">
        <v>0.21309923603307299</v>
      </c>
      <c r="F70" s="20">
        <v>-1.9479450510874301</v>
      </c>
      <c r="G70" s="20">
        <v>-0.83764202226157103</v>
      </c>
      <c r="H70" s="20">
        <v>7.4308178192964997E-3</v>
      </c>
      <c r="I70" s="20">
        <v>5.4091267282123497E-2</v>
      </c>
      <c r="J70" s="20" t="s">
        <v>200</v>
      </c>
    </row>
    <row r="71" spans="1:10" hidden="1" x14ac:dyDescent="0.2">
      <c r="A71" s="196" t="s">
        <v>280</v>
      </c>
      <c r="B71" s="34" t="s">
        <v>14</v>
      </c>
      <c r="C71" s="20" t="s">
        <v>286</v>
      </c>
      <c r="D71" s="20">
        <v>-0.35376288218802998</v>
      </c>
      <c r="E71" s="20">
        <v>0.21276541128234999</v>
      </c>
      <c r="F71" s="20">
        <v>-1.66268981436353</v>
      </c>
      <c r="G71" s="20">
        <v>-0.77563738941395899</v>
      </c>
      <c r="H71" s="20">
        <v>6.8111625037898499E-2</v>
      </c>
      <c r="I71" s="20">
        <v>9.9356948725339497E-2</v>
      </c>
      <c r="J71" s="20" t="s">
        <v>200</v>
      </c>
    </row>
    <row r="72" spans="1:10" hidden="1" x14ac:dyDescent="0.2">
      <c r="A72" s="191" t="s">
        <v>260</v>
      </c>
      <c r="B72" s="63" t="s">
        <v>252</v>
      </c>
      <c r="C72" t="s">
        <v>260</v>
      </c>
      <c r="D72">
        <v>6.9608637467520898E-2</v>
      </c>
      <c r="E72">
        <v>7.7930486424290804E-2</v>
      </c>
      <c r="F72">
        <v>0.89321446152072204</v>
      </c>
      <c r="G72">
        <v>-8.4913121308840503E-2</v>
      </c>
      <c r="H72">
        <v>0.22413039624388201</v>
      </c>
      <c r="I72">
        <v>0.37378498572409902</v>
      </c>
    </row>
    <row r="73" spans="1:10" hidden="1" x14ac:dyDescent="0.2">
      <c r="A73" s="80" t="s">
        <v>260</v>
      </c>
      <c r="B73" s="135" t="s">
        <v>253</v>
      </c>
      <c r="C73" t="s">
        <v>260</v>
      </c>
      <c r="D73">
        <v>8.3633988003186006E-3</v>
      </c>
      <c r="E73">
        <v>7.0395200269251404E-2</v>
      </c>
      <c r="F73">
        <v>0.118806378394121</v>
      </c>
      <c r="G73">
        <v>-0.13121727949541401</v>
      </c>
      <c r="H73">
        <v>0.14794407709605201</v>
      </c>
      <c r="I73">
        <v>0.90565575441181501</v>
      </c>
    </row>
    <row r="74" spans="1:10" hidden="1" x14ac:dyDescent="0.2">
      <c r="A74" s="80" t="s">
        <v>260</v>
      </c>
      <c r="B74" s="136" t="s">
        <v>254</v>
      </c>
      <c r="C74" t="s">
        <v>260</v>
      </c>
      <c r="D74">
        <v>-2.3162254379059E-2</v>
      </c>
      <c r="E74">
        <v>6.4199008946077593E-2</v>
      </c>
      <c r="F74">
        <v>-0.36078834797143999</v>
      </c>
      <c r="G74">
        <v>-0.15045702987984699</v>
      </c>
      <c r="H74">
        <v>0.10413252112172899</v>
      </c>
      <c r="I74">
        <v>0.71898251200554697</v>
      </c>
    </row>
    <row r="75" spans="1:10" hidden="1" x14ac:dyDescent="0.2">
      <c r="A75" s="80" t="s">
        <v>260</v>
      </c>
      <c r="B75" s="137" t="s">
        <v>255</v>
      </c>
      <c r="C75" t="s">
        <v>260</v>
      </c>
      <c r="D75">
        <v>-6.0827537516098904E-3</v>
      </c>
      <c r="E75">
        <v>6.3022278073845001E-2</v>
      </c>
      <c r="F75">
        <v>-9.6517516305623802E-2</v>
      </c>
      <c r="G75">
        <v>-0.13104428930578901</v>
      </c>
      <c r="H75">
        <v>0.118878781802569</v>
      </c>
      <c r="I75">
        <v>0.92329354444589595</v>
      </c>
    </row>
    <row r="76" spans="1:10" hidden="1" x14ac:dyDescent="0.2">
      <c r="A76" s="80" t="s">
        <v>260</v>
      </c>
      <c r="B76" s="53" t="s">
        <v>26</v>
      </c>
      <c r="C76" t="s">
        <v>260</v>
      </c>
      <c r="D76">
        <v>4.97859975978917E-2</v>
      </c>
      <c r="E76">
        <v>7.1884675649237395E-2</v>
      </c>
      <c r="F76">
        <v>0.69258151543763502</v>
      </c>
      <c r="G76">
        <v>-9.2748035231219203E-2</v>
      </c>
      <c r="H76">
        <v>0.19232003042700299</v>
      </c>
      <c r="I76">
        <v>0.49010113493278901</v>
      </c>
    </row>
    <row r="77" spans="1:10" hidden="1" x14ac:dyDescent="0.2">
      <c r="A77" s="80" t="s">
        <v>260</v>
      </c>
      <c r="B77" s="127" t="s">
        <v>17</v>
      </c>
      <c r="C77" t="s">
        <v>260</v>
      </c>
      <c r="D77">
        <v>6.2760133047454397E-2</v>
      </c>
      <c r="E77">
        <v>7.0036234266864505E-2</v>
      </c>
      <c r="F77">
        <v>0.89610947396621199</v>
      </c>
      <c r="G77">
        <v>-7.6108781975972706E-2</v>
      </c>
      <c r="H77">
        <v>0.201629048070882</v>
      </c>
      <c r="I77">
        <v>0.37224414577235798</v>
      </c>
    </row>
    <row r="78" spans="1:10" hidden="1" x14ac:dyDescent="0.2">
      <c r="A78" s="80" t="s">
        <v>260</v>
      </c>
      <c r="B78" s="9" t="s">
        <v>21</v>
      </c>
      <c r="C78" t="s">
        <v>260</v>
      </c>
      <c r="D78">
        <v>3.4835427308995998E-2</v>
      </c>
      <c r="E78">
        <v>6.9128098293946297E-2</v>
      </c>
      <c r="F78">
        <v>0.50392572873723396</v>
      </c>
      <c r="G78">
        <v>-0.102232821836646</v>
      </c>
      <c r="H78">
        <v>0.171903676454638</v>
      </c>
      <c r="I78">
        <v>0.61536927889070503</v>
      </c>
    </row>
    <row r="79" spans="1:10" hidden="1" x14ac:dyDescent="0.2">
      <c r="A79" s="80" t="s">
        <v>260</v>
      </c>
      <c r="B79" s="36" t="s">
        <v>29</v>
      </c>
      <c r="C79" t="s">
        <v>260</v>
      </c>
      <c r="D79">
        <v>4.5697357642702198E-2</v>
      </c>
      <c r="E79">
        <v>6.6599572859023001E-2</v>
      </c>
      <c r="F79">
        <v>0.68615091179989596</v>
      </c>
      <c r="G79">
        <v>-8.6357292650394796E-2</v>
      </c>
      <c r="H79">
        <v>0.17775200793579901</v>
      </c>
      <c r="I79">
        <v>0.49413030569235</v>
      </c>
    </row>
    <row r="80" spans="1:10" hidden="1" x14ac:dyDescent="0.2">
      <c r="A80" s="80" t="s">
        <v>260</v>
      </c>
      <c r="B80" s="15" t="s">
        <v>18</v>
      </c>
      <c r="C80" s="11" t="s">
        <v>260</v>
      </c>
      <c r="D80" s="11">
        <v>0.13906188174710199</v>
      </c>
      <c r="E80" s="11">
        <v>5.9777758900232E-2</v>
      </c>
      <c r="F80" s="11">
        <v>2.32631474156122</v>
      </c>
      <c r="G80" s="11">
        <v>2.0533628366484199E-2</v>
      </c>
      <c r="H80" s="11">
        <v>0.25759013512772</v>
      </c>
      <c r="I80" s="11">
        <v>2.1922442557453601E-2</v>
      </c>
      <c r="J80" s="11" t="s">
        <v>61</v>
      </c>
    </row>
    <row r="81" spans="1:10" hidden="1" x14ac:dyDescent="0.2">
      <c r="A81" s="80" t="s">
        <v>260</v>
      </c>
      <c r="B81" s="34" t="s">
        <v>14</v>
      </c>
      <c r="C81" s="20" t="s">
        <v>260</v>
      </c>
      <c r="D81" s="20">
        <v>0.115563434691004</v>
      </c>
      <c r="E81" s="20">
        <v>5.9859332362414697E-2</v>
      </c>
      <c r="F81" s="20">
        <v>1.9305834216681901</v>
      </c>
      <c r="G81" s="20">
        <v>-3.1265637963659599E-3</v>
      </c>
      <c r="H81" s="20">
        <v>0.23425343317837399</v>
      </c>
      <c r="I81" s="20">
        <v>5.6231783562488702E-2</v>
      </c>
      <c r="J81" s="20" t="s">
        <v>200</v>
      </c>
    </row>
    <row r="82" spans="1:10" hidden="1" x14ac:dyDescent="0.2">
      <c r="A82" s="188" t="s">
        <v>261</v>
      </c>
      <c r="B82" s="63" t="s">
        <v>252</v>
      </c>
      <c r="C82" t="s">
        <v>273</v>
      </c>
      <c r="D82">
        <v>-0.29552160354574503</v>
      </c>
      <c r="E82">
        <v>0.25136949749749299</v>
      </c>
      <c r="F82">
        <v>-1.1756462358711299</v>
      </c>
      <c r="G82">
        <v>-0.79394088254996098</v>
      </c>
      <c r="H82">
        <v>0.20289767545847101</v>
      </c>
      <c r="I82">
        <v>0.24239511539946201</v>
      </c>
    </row>
    <row r="83" spans="1:10" hidden="1" x14ac:dyDescent="0.2">
      <c r="A83" s="188" t="s">
        <v>261</v>
      </c>
      <c r="B83" s="135" t="s">
        <v>253</v>
      </c>
      <c r="C83" t="s">
        <v>273</v>
      </c>
      <c r="D83">
        <v>-6.3601608840780102E-2</v>
      </c>
      <c r="E83">
        <v>0.227620832903875</v>
      </c>
      <c r="F83">
        <v>-0.27941910250209501</v>
      </c>
      <c r="G83">
        <v>-0.51493167295653297</v>
      </c>
      <c r="H83">
        <v>0.38772845527497302</v>
      </c>
      <c r="I83">
        <v>0.78047286443678199</v>
      </c>
    </row>
    <row r="84" spans="1:10" hidden="1" x14ac:dyDescent="0.2">
      <c r="A84" s="188" t="s">
        <v>261</v>
      </c>
      <c r="B84" s="136" t="s">
        <v>254</v>
      </c>
      <c r="C84" t="s">
        <v>273</v>
      </c>
      <c r="D84">
        <v>-1.76665023953901E-2</v>
      </c>
      <c r="E84">
        <v>0.20777035301823901</v>
      </c>
      <c r="F84">
        <v>-8.5028985794904394E-2</v>
      </c>
      <c r="G84">
        <v>-0.429636731801743</v>
      </c>
      <c r="H84">
        <v>0.394303727010962</v>
      </c>
      <c r="I84">
        <v>0.932400263075155</v>
      </c>
    </row>
    <row r="85" spans="1:10" hidden="1" x14ac:dyDescent="0.2">
      <c r="A85" s="188" t="s">
        <v>261</v>
      </c>
      <c r="B85" s="137" t="s">
        <v>255</v>
      </c>
      <c r="C85" t="s">
        <v>273</v>
      </c>
      <c r="D85">
        <v>-3.2358589335461499E-2</v>
      </c>
      <c r="E85">
        <v>0.20382733291855801</v>
      </c>
      <c r="F85">
        <v>-0.15875490726452701</v>
      </c>
      <c r="G85">
        <v>-0.43651053826328601</v>
      </c>
      <c r="H85">
        <v>0.37179335959236298</v>
      </c>
      <c r="I85">
        <v>0.87416692261923801</v>
      </c>
    </row>
    <row r="86" spans="1:10" hidden="1" x14ac:dyDescent="0.2">
      <c r="A86" s="188" t="s">
        <v>261</v>
      </c>
      <c r="B86" s="53" t="s">
        <v>26</v>
      </c>
      <c r="C86" t="s">
        <v>273</v>
      </c>
      <c r="D86">
        <v>-0.336149204987234</v>
      </c>
      <c r="E86">
        <v>0.23071773645954499</v>
      </c>
      <c r="F86">
        <v>-1.4569716665288801</v>
      </c>
      <c r="G86">
        <v>-0.79361985677463998</v>
      </c>
      <c r="H86">
        <v>0.121321446800171</v>
      </c>
      <c r="I86">
        <v>0.148108304833727</v>
      </c>
    </row>
    <row r="87" spans="1:10" hidden="1" x14ac:dyDescent="0.2">
      <c r="A87" s="188" t="s">
        <v>261</v>
      </c>
      <c r="B87" s="127" t="s">
        <v>17</v>
      </c>
      <c r="C87" t="s">
        <v>273</v>
      </c>
      <c r="D87">
        <v>-0.26814222406844002</v>
      </c>
      <c r="E87">
        <v>0.22588294915976601</v>
      </c>
      <c r="F87">
        <v>-1.18708483781476</v>
      </c>
      <c r="G87">
        <v>-0.71602638575229405</v>
      </c>
      <c r="H87">
        <v>0.17974193761541499</v>
      </c>
      <c r="I87">
        <v>0.23787288057659101</v>
      </c>
    </row>
    <row r="88" spans="1:10" hidden="1" x14ac:dyDescent="0.2">
      <c r="A88" s="188" t="s">
        <v>261</v>
      </c>
      <c r="B88" s="9" t="s">
        <v>21</v>
      </c>
      <c r="C88" t="s">
        <v>273</v>
      </c>
      <c r="D88">
        <v>-0.18562236361808501</v>
      </c>
      <c r="E88">
        <v>0.22312783742692099</v>
      </c>
      <c r="F88">
        <v>-0.83191037818793301</v>
      </c>
      <c r="G88">
        <v>-0.62804364767704202</v>
      </c>
      <c r="H88">
        <v>0.25679892044087099</v>
      </c>
      <c r="I88">
        <v>0.40734753665231699</v>
      </c>
    </row>
    <row r="89" spans="1:10" hidden="1" x14ac:dyDescent="0.2">
      <c r="A89" s="188" t="s">
        <v>261</v>
      </c>
      <c r="B89" s="36" t="s">
        <v>29</v>
      </c>
      <c r="C89" t="s">
        <v>273</v>
      </c>
      <c r="D89">
        <v>-8.9963087607801501E-2</v>
      </c>
      <c r="E89">
        <v>0.215717166348671</v>
      </c>
      <c r="F89">
        <v>-0.41704185684689998</v>
      </c>
      <c r="G89">
        <v>-0.51769037986373401</v>
      </c>
      <c r="H89">
        <v>0.33776420464813101</v>
      </c>
      <c r="I89">
        <v>0.67749920585844403</v>
      </c>
    </row>
    <row r="90" spans="1:10" hidden="1" x14ac:dyDescent="0.2">
      <c r="A90" s="188" t="s">
        <v>261</v>
      </c>
      <c r="B90" s="15" t="s">
        <v>18</v>
      </c>
      <c r="C90" t="s">
        <v>273</v>
      </c>
      <c r="D90">
        <v>-0.28960488199432599</v>
      </c>
      <c r="E90">
        <v>0.19624382254540201</v>
      </c>
      <c r="F90">
        <v>-1.47574011878679</v>
      </c>
      <c r="G90">
        <v>-0.67872013072527504</v>
      </c>
      <c r="H90">
        <v>9.95103667366221E-2</v>
      </c>
      <c r="I90">
        <v>0.14300623333514201</v>
      </c>
    </row>
    <row r="91" spans="1:10" hidden="1" x14ac:dyDescent="0.2">
      <c r="A91" s="188" t="s">
        <v>261</v>
      </c>
      <c r="B91" s="34" t="s">
        <v>14</v>
      </c>
      <c r="C91" t="s">
        <v>273</v>
      </c>
      <c r="D91">
        <v>-3.9617738957446802E-2</v>
      </c>
      <c r="E91">
        <v>0.19698073847714601</v>
      </c>
      <c r="F91">
        <v>-0.201124938731222</v>
      </c>
      <c r="G91">
        <v>-0.43019415585336002</v>
      </c>
      <c r="H91">
        <v>0.35095867793846602</v>
      </c>
      <c r="I91">
        <v>0.84098997743579795</v>
      </c>
    </row>
    <row r="92" spans="1:10" hidden="1" x14ac:dyDescent="0.2">
      <c r="A92" s="203" t="s">
        <v>277</v>
      </c>
      <c r="B92" s="63" t="s">
        <v>252</v>
      </c>
      <c r="C92" t="s">
        <v>279</v>
      </c>
      <c r="D92">
        <v>-0.30401072048421302</v>
      </c>
      <c r="E92">
        <v>0.28757489568859201</v>
      </c>
      <c r="F92">
        <v>-1.0571531974523201</v>
      </c>
      <c r="G92">
        <v>-0.87421861601557105</v>
      </c>
      <c r="H92">
        <v>0.26619717504714502</v>
      </c>
      <c r="I92">
        <v>0.29286782176377901</v>
      </c>
    </row>
    <row r="93" spans="1:10" hidden="1" x14ac:dyDescent="0.2">
      <c r="A93" s="195" t="s">
        <v>277</v>
      </c>
      <c r="B93" s="135" t="s">
        <v>253</v>
      </c>
      <c r="C93" t="s">
        <v>279</v>
      </c>
      <c r="D93">
        <v>-0.17583762544861101</v>
      </c>
      <c r="E93">
        <v>0.25961180341553097</v>
      </c>
      <c r="F93">
        <v>-0.677309826191408</v>
      </c>
      <c r="G93">
        <v>-0.69059987451840199</v>
      </c>
      <c r="H93">
        <v>0.33892462362117998</v>
      </c>
      <c r="I93">
        <v>0.49969900812665902</v>
      </c>
    </row>
    <row r="94" spans="1:10" hidden="1" x14ac:dyDescent="0.2">
      <c r="A94" s="195" t="s">
        <v>277</v>
      </c>
      <c r="B94" s="136" t="s">
        <v>254</v>
      </c>
      <c r="C94" t="s">
        <v>279</v>
      </c>
      <c r="D94">
        <v>-0.13817203977592599</v>
      </c>
      <c r="E94">
        <v>0.23702522508233001</v>
      </c>
      <c r="F94">
        <v>-0.58294234180320703</v>
      </c>
      <c r="G94">
        <v>-0.60814927634387805</v>
      </c>
      <c r="H94">
        <v>0.33180519679202702</v>
      </c>
      <c r="I94">
        <v>0.56118201083743102</v>
      </c>
    </row>
    <row r="95" spans="1:10" hidden="1" x14ac:dyDescent="0.2">
      <c r="A95" s="195" t="s">
        <v>277</v>
      </c>
      <c r="B95" s="137" t="s">
        <v>255</v>
      </c>
      <c r="C95" t="s">
        <v>279</v>
      </c>
      <c r="D95">
        <v>-7.1425396087962806E-2</v>
      </c>
      <c r="E95">
        <v>0.23281859377588299</v>
      </c>
      <c r="F95">
        <v>-0.306785617632922</v>
      </c>
      <c r="G95">
        <v>-0.53306165985026899</v>
      </c>
      <c r="H95">
        <v>0.39021086767434299</v>
      </c>
      <c r="I95">
        <v>0.759614117720949</v>
      </c>
    </row>
    <row r="96" spans="1:10" hidden="1" x14ac:dyDescent="0.2">
      <c r="A96" s="195" t="s">
        <v>277</v>
      </c>
      <c r="B96" s="53" t="s">
        <v>26</v>
      </c>
      <c r="C96" t="s">
        <v>279</v>
      </c>
      <c r="D96">
        <v>-0.18589475772175901</v>
      </c>
      <c r="E96">
        <v>0.26565291151728398</v>
      </c>
      <c r="F96">
        <v>-0.699765557471273</v>
      </c>
      <c r="G96">
        <v>-0.71263540820635496</v>
      </c>
      <c r="H96">
        <v>0.340845892762837</v>
      </c>
      <c r="I96">
        <v>0.48562117098702001</v>
      </c>
    </row>
    <row r="97" spans="1:9" hidden="1" x14ac:dyDescent="0.2">
      <c r="A97" s="195" t="s">
        <v>277</v>
      </c>
      <c r="B97" s="127" t="s">
        <v>17</v>
      </c>
      <c r="C97" t="s">
        <v>279</v>
      </c>
      <c r="D97">
        <v>-0.26931999489490799</v>
      </c>
      <c r="E97">
        <v>0.25848927509437403</v>
      </c>
      <c r="F97">
        <v>-1.04190007417747</v>
      </c>
      <c r="G97">
        <v>-0.78185647766424304</v>
      </c>
      <c r="H97">
        <v>0.24321648787442701</v>
      </c>
      <c r="I97">
        <v>0.29985104762516801</v>
      </c>
    </row>
    <row r="98" spans="1:9" hidden="1" x14ac:dyDescent="0.2">
      <c r="A98" s="195" t="s">
        <v>277</v>
      </c>
      <c r="B98" s="9" t="s">
        <v>21</v>
      </c>
      <c r="C98" t="s">
        <v>279</v>
      </c>
      <c r="D98">
        <v>-0.21002688296944499</v>
      </c>
      <c r="E98">
        <v>0.25496419331363102</v>
      </c>
      <c r="F98">
        <v>-0.82375050488399804</v>
      </c>
      <c r="G98">
        <v>-0.71557377974254499</v>
      </c>
      <c r="H98">
        <v>0.295520013803656</v>
      </c>
      <c r="I98">
        <v>0.41194849456670402</v>
      </c>
    </row>
    <row r="99" spans="1:9" hidden="1" x14ac:dyDescent="0.2">
      <c r="A99" s="195" t="s">
        <v>277</v>
      </c>
      <c r="B99" s="36" t="s">
        <v>29</v>
      </c>
      <c r="C99" t="s">
        <v>279</v>
      </c>
      <c r="D99">
        <v>7.1175080204629704E-2</v>
      </c>
      <c r="E99">
        <v>0.24658664066962799</v>
      </c>
      <c r="F99">
        <v>0.288641266255736</v>
      </c>
      <c r="G99">
        <v>-0.41776067722892002</v>
      </c>
      <c r="H99">
        <v>0.56011083763817904</v>
      </c>
      <c r="I99">
        <v>0.77342496903507496</v>
      </c>
    </row>
    <row r="100" spans="1:9" hidden="1" x14ac:dyDescent="0.2">
      <c r="A100" s="195" t="s">
        <v>277</v>
      </c>
      <c r="B100" s="15" t="s">
        <v>18</v>
      </c>
      <c r="C100" t="s">
        <v>279</v>
      </c>
      <c r="D100">
        <v>-0.16615625001527801</v>
      </c>
      <c r="E100">
        <v>0.225962365770808</v>
      </c>
      <c r="F100">
        <v>-0.73532709506063798</v>
      </c>
      <c r="G100">
        <v>-0.61419788016849997</v>
      </c>
      <c r="H100">
        <v>0.28188538013794501</v>
      </c>
      <c r="I100">
        <v>0.46377961674516199</v>
      </c>
    </row>
    <row r="101" spans="1:9" hidden="1" x14ac:dyDescent="0.2">
      <c r="A101" s="195" t="s">
        <v>277</v>
      </c>
      <c r="B101" s="34" t="s">
        <v>14</v>
      </c>
      <c r="C101" t="s">
        <v>279</v>
      </c>
      <c r="D101">
        <v>-0.24805231451250001</v>
      </c>
      <c r="E101">
        <v>0.22380999609948701</v>
      </c>
      <c r="F101">
        <v>-1.10831651327243</v>
      </c>
      <c r="G101">
        <v>-0.69182619320657301</v>
      </c>
      <c r="H101">
        <v>0.19572156418157299</v>
      </c>
      <c r="I101">
        <v>0.27025740746684301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1F33-BD2C-444D-9A40-5370C14C4DA6}">
  <dimension ref="A1:K981"/>
  <sheetViews>
    <sheetView zoomScale="170" zoomScaleNormal="170" workbookViewId="0">
      <selection activeCell="M320" sqref="M320"/>
    </sheetView>
  </sheetViews>
  <sheetFormatPr baseColWidth="10" defaultRowHeight="16" x14ac:dyDescent="0.2"/>
  <sheetData>
    <row r="1" spans="1:11" x14ac:dyDescent="0.2">
      <c r="A1" t="s">
        <v>0</v>
      </c>
      <c r="B1" t="s">
        <v>256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250</v>
      </c>
      <c r="I1" t="s">
        <v>251</v>
      </c>
      <c r="J1" t="s">
        <v>6</v>
      </c>
      <c r="K1" t="s">
        <v>67</v>
      </c>
    </row>
    <row r="2" spans="1:11" hidden="1" x14ac:dyDescent="0.2">
      <c r="A2" t="s">
        <v>68</v>
      </c>
      <c r="B2" t="s">
        <v>252</v>
      </c>
      <c r="C2">
        <v>0</v>
      </c>
      <c r="D2" t="s">
        <v>111</v>
      </c>
      <c r="E2">
        <v>-0.116298317232649</v>
      </c>
      <c r="F2">
        <v>0.55018512487575</v>
      </c>
      <c r="G2">
        <v>-0.21138033722542501</v>
      </c>
      <c r="H2">
        <v>-1.2136079486293101</v>
      </c>
      <c r="I2">
        <v>0.98101131416401099</v>
      </c>
      <c r="J2">
        <v>0.83320470320733397</v>
      </c>
    </row>
    <row r="3" spans="1:11" hidden="1" x14ac:dyDescent="0.2">
      <c r="A3" t="s">
        <v>68</v>
      </c>
      <c r="B3" t="s">
        <v>252</v>
      </c>
      <c r="C3">
        <v>0</v>
      </c>
      <c r="D3" t="s">
        <v>202</v>
      </c>
      <c r="E3">
        <v>-0.26658120945490199</v>
      </c>
      <c r="F3">
        <v>0.45305320416955402</v>
      </c>
      <c r="G3">
        <v>-0.58841038315476601</v>
      </c>
      <c r="H3">
        <v>-1.17016733345751</v>
      </c>
      <c r="I3">
        <v>0.63700491454770503</v>
      </c>
      <c r="J3">
        <v>0.55815070111035803</v>
      </c>
    </row>
    <row r="4" spans="1:11" hidden="1" x14ac:dyDescent="0.2">
      <c r="A4" t="s">
        <v>68</v>
      </c>
      <c r="B4" t="s">
        <v>252</v>
      </c>
      <c r="C4">
        <v>0</v>
      </c>
      <c r="D4" t="s">
        <v>96</v>
      </c>
      <c r="E4">
        <v>0.42393709817243003</v>
      </c>
      <c r="F4">
        <v>0.32834545829363199</v>
      </c>
      <c r="G4">
        <v>1.2911312992589401</v>
      </c>
      <c r="H4">
        <v>-0.23092726932990801</v>
      </c>
      <c r="I4">
        <v>1.07880146567477</v>
      </c>
      <c r="J4">
        <v>0.20090577666724899</v>
      </c>
    </row>
    <row r="5" spans="1:11" hidden="1" x14ac:dyDescent="0.2">
      <c r="A5" t="s">
        <v>68</v>
      </c>
      <c r="B5" t="s">
        <v>252</v>
      </c>
      <c r="C5">
        <v>1</v>
      </c>
      <c r="D5" t="s">
        <v>111</v>
      </c>
      <c r="E5">
        <v>0.13679818004539701</v>
      </c>
      <c r="F5">
        <v>0.34984457758769799</v>
      </c>
      <c r="G5">
        <v>0.39102558338525201</v>
      </c>
      <c r="H5">
        <v>-0.57871432017635804</v>
      </c>
      <c r="I5">
        <v>0.85231068026715096</v>
      </c>
      <c r="J5">
        <v>0.69863644920351697</v>
      </c>
    </row>
    <row r="6" spans="1:11" hidden="1" x14ac:dyDescent="0.2">
      <c r="A6" t="s">
        <v>68</v>
      </c>
      <c r="B6" t="s">
        <v>252</v>
      </c>
      <c r="C6">
        <v>1</v>
      </c>
      <c r="D6" t="s">
        <v>202</v>
      </c>
      <c r="E6">
        <v>-0.39372572086309499</v>
      </c>
      <c r="F6">
        <v>0.305359752916597</v>
      </c>
      <c r="G6">
        <v>-1.2893831525028601</v>
      </c>
      <c r="H6">
        <v>-1.0182565390424401</v>
      </c>
      <c r="I6">
        <v>0.23080509731624699</v>
      </c>
      <c r="J6">
        <v>0.20745440537020099</v>
      </c>
    </row>
    <row r="7" spans="1:11" hidden="1" x14ac:dyDescent="0.2">
      <c r="A7" t="s">
        <v>68</v>
      </c>
      <c r="B7" t="s">
        <v>252</v>
      </c>
      <c r="C7">
        <v>1</v>
      </c>
      <c r="D7" t="s">
        <v>96</v>
      </c>
      <c r="E7">
        <v>0.294345211564918</v>
      </c>
      <c r="F7">
        <v>0.25317568788305</v>
      </c>
      <c r="G7">
        <v>1.16261246893851</v>
      </c>
      <c r="H7">
        <v>-0.22345720996083401</v>
      </c>
      <c r="I7">
        <v>0.81214763309066995</v>
      </c>
      <c r="J7">
        <v>0.25446513429828899</v>
      </c>
    </row>
    <row r="8" spans="1:11" hidden="1" x14ac:dyDescent="0.2">
      <c r="A8" t="s">
        <v>68</v>
      </c>
      <c r="B8" t="s">
        <v>253</v>
      </c>
      <c r="C8">
        <v>0</v>
      </c>
      <c r="D8" t="s">
        <v>111</v>
      </c>
      <c r="E8">
        <v>-0.11192975057143301</v>
      </c>
      <c r="F8">
        <v>0.47164397388391599</v>
      </c>
      <c r="G8">
        <v>-0.23731830950729399</v>
      </c>
      <c r="H8">
        <v>-1.05259399562876</v>
      </c>
      <c r="I8">
        <v>0.82873449448588898</v>
      </c>
      <c r="J8">
        <v>0.81310305586362996</v>
      </c>
    </row>
    <row r="9" spans="1:11" hidden="1" x14ac:dyDescent="0.2">
      <c r="A9" t="s">
        <v>68</v>
      </c>
      <c r="B9" t="s">
        <v>253</v>
      </c>
      <c r="C9">
        <v>0</v>
      </c>
      <c r="D9" t="s">
        <v>202</v>
      </c>
      <c r="E9">
        <v>-0.23302935072265901</v>
      </c>
      <c r="F9">
        <v>0.38837802756595002</v>
      </c>
      <c r="G9">
        <v>-0.60000652504237895</v>
      </c>
      <c r="H9">
        <v>-1.0076249022966799</v>
      </c>
      <c r="I9">
        <v>0.54156620085136498</v>
      </c>
      <c r="J9">
        <v>0.55043935761973795</v>
      </c>
    </row>
    <row r="10" spans="1:11" hidden="1" x14ac:dyDescent="0.2">
      <c r="A10" t="s">
        <v>68</v>
      </c>
      <c r="B10" t="s">
        <v>253</v>
      </c>
      <c r="C10">
        <v>0</v>
      </c>
      <c r="D10" t="s">
        <v>96</v>
      </c>
      <c r="E10">
        <v>0.183987887320788</v>
      </c>
      <c r="F10">
        <v>0.28147281661116702</v>
      </c>
      <c r="G10">
        <v>0.65366130035552505</v>
      </c>
      <c r="H10">
        <v>-0.37739194408329002</v>
      </c>
      <c r="I10">
        <v>0.74536771872486496</v>
      </c>
      <c r="J10">
        <v>0.51547160276039505</v>
      </c>
    </row>
    <row r="11" spans="1:11" hidden="1" x14ac:dyDescent="0.2">
      <c r="A11" t="s">
        <v>68</v>
      </c>
      <c r="B11" t="s">
        <v>253</v>
      </c>
      <c r="C11">
        <v>1</v>
      </c>
      <c r="D11" t="s">
        <v>111</v>
      </c>
      <c r="E11">
        <v>0.27407596010959401</v>
      </c>
      <c r="F11">
        <v>0.45691789245887898</v>
      </c>
      <c r="G11">
        <v>0.59983634835280497</v>
      </c>
      <c r="H11">
        <v>-0.66042605756810802</v>
      </c>
      <c r="I11">
        <v>1.2085779777873</v>
      </c>
      <c r="J11">
        <v>0.553273751815065</v>
      </c>
    </row>
    <row r="12" spans="1:11" hidden="1" x14ac:dyDescent="0.2">
      <c r="A12" t="s">
        <v>68</v>
      </c>
      <c r="B12" t="s">
        <v>253</v>
      </c>
      <c r="C12">
        <v>1</v>
      </c>
      <c r="D12" t="s">
        <v>202</v>
      </c>
      <c r="E12">
        <v>-8.7606917220238098E-2</v>
      </c>
      <c r="F12">
        <v>0.39881805716837199</v>
      </c>
      <c r="G12">
        <v>-0.21966637579615</v>
      </c>
      <c r="H12">
        <v>-0.903281429558768</v>
      </c>
      <c r="I12">
        <v>0.728067595118291</v>
      </c>
      <c r="J12">
        <v>0.82766990402540097</v>
      </c>
    </row>
    <row r="13" spans="1:11" hidden="1" x14ac:dyDescent="0.2">
      <c r="A13" t="s">
        <v>68</v>
      </c>
      <c r="B13" t="s">
        <v>253</v>
      </c>
      <c r="C13">
        <v>1</v>
      </c>
      <c r="D13" t="s">
        <v>96</v>
      </c>
      <c r="E13">
        <v>8.7646875293905302E-2</v>
      </c>
      <c r="F13">
        <v>0.33066255457497201</v>
      </c>
      <c r="G13">
        <v>0.26506441107782802</v>
      </c>
      <c r="H13">
        <v>-0.58863398286614999</v>
      </c>
      <c r="I13">
        <v>0.76392773345396103</v>
      </c>
      <c r="J13">
        <v>0.79283488981039796</v>
      </c>
    </row>
    <row r="14" spans="1:11" hidden="1" x14ac:dyDescent="0.2">
      <c r="A14" t="s">
        <v>68</v>
      </c>
      <c r="B14" t="s">
        <v>254</v>
      </c>
      <c r="C14">
        <v>0</v>
      </c>
      <c r="D14" t="s">
        <v>111</v>
      </c>
      <c r="E14">
        <v>0.86642105149625903</v>
      </c>
      <c r="F14">
        <v>0.40790426138291003</v>
      </c>
      <c r="G14">
        <v>2.1240794311852702</v>
      </c>
      <c r="H14">
        <v>5.28816545445683E-2</v>
      </c>
      <c r="I14">
        <v>1.67996044844795</v>
      </c>
      <c r="J14">
        <v>3.7198047714907798E-2</v>
      </c>
    </row>
    <row r="15" spans="1:11" hidden="1" x14ac:dyDescent="0.2">
      <c r="A15" t="s">
        <v>68</v>
      </c>
      <c r="B15" t="s">
        <v>254</v>
      </c>
      <c r="C15">
        <v>0</v>
      </c>
      <c r="D15" t="s">
        <v>202</v>
      </c>
      <c r="E15">
        <v>0.27623536169069601</v>
      </c>
      <c r="F15">
        <v>0.335891183273407</v>
      </c>
      <c r="G15">
        <v>0.82239539305158504</v>
      </c>
      <c r="H15">
        <v>-0.39367847974652498</v>
      </c>
      <c r="I15">
        <v>0.94614920312791595</v>
      </c>
      <c r="J15">
        <v>0.41364454534758299</v>
      </c>
    </row>
    <row r="16" spans="1:11" hidden="1" x14ac:dyDescent="0.2">
      <c r="A16" t="s">
        <v>68</v>
      </c>
      <c r="B16" t="s">
        <v>254</v>
      </c>
      <c r="C16">
        <v>0</v>
      </c>
      <c r="D16" t="s">
        <v>96</v>
      </c>
      <c r="E16">
        <v>0.56951120718253001</v>
      </c>
      <c r="F16">
        <v>0.243433538254863</v>
      </c>
      <c r="G16">
        <v>2.3394936098997201</v>
      </c>
      <c r="H16">
        <v>8.3998324237261002E-2</v>
      </c>
      <c r="I16">
        <v>1.0550240901278001</v>
      </c>
      <c r="J16">
        <v>2.21683263021871E-2</v>
      </c>
    </row>
    <row r="17" spans="1:10" hidden="1" x14ac:dyDescent="0.2">
      <c r="A17" t="s">
        <v>68</v>
      </c>
      <c r="B17" t="s">
        <v>254</v>
      </c>
      <c r="C17">
        <v>1</v>
      </c>
      <c r="D17" t="s">
        <v>111</v>
      </c>
      <c r="E17">
        <v>-0.74219479970290703</v>
      </c>
      <c r="F17">
        <v>0.37454600034472402</v>
      </c>
      <c r="G17">
        <v>-1.9815851698317599</v>
      </c>
      <c r="H17">
        <v>-1.5082273819501799</v>
      </c>
      <c r="I17">
        <v>2.3837782544368202E-2</v>
      </c>
      <c r="J17">
        <v>5.7076186570509099E-2</v>
      </c>
    </row>
    <row r="18" spans="1:10" hidden="1" x14ac:dyDescent="0.2">
      <c r="A18" t="s">
        <v>68</v>
      </c>
      <c r="B18" t="s">
        <v>254</v>
      </c>
      <c r="C18">
        <v>1</v>
      </c>
      <c r="D18" t="s">
        <v>202</v>
      </c>
      <c r="E18">
        <v>0.90997956829365001</v>
      </c>
      <c r="F18">
        <v>0.32692024243964202</v>
      </c>
      <c r="G18">
        <v>2.78349104816186</v>
      </c>
      <c r="H18">
        <v>0.24135259784288299</v>
      </c>
      <c r="I18">
        <v>1.5786065387444199</v>
      </c>
      <c r="J18">
        <v>9.3658934410059506E-3</v>
      </c>
    </row>
    <row r="19" spans="1:10" hidden="1" x14ac:dyDescent="0.2">
      <c r="A19" t="s">
        <v>68</v>
      </c>
      <c r="B19" t="s">
        <v>254</v>
      </c>
      <c r="C19">
        <v>1</v>
      </c>
      <c r="D19" t="s">
        <v>96</v>
      </c>
      <c r="E19">
        <v>-0.21191408865345701</v>
      </c>
      <c r="F19">
        <v>0.27105162508156899</v>
      </c>
      <c r="G19">
        <v>-0.78182187098005695</v>
      </c>
      <c r="H19">
        <v>-0.76627690681852201</v>
      </c>
      <c r="I19">
        <v>0.34244872951160799</v>
      </c>
      <c r="J19">
        <v>0.44065613540270099</v>
      </c>
    </row>
    <row r="20" spans="1:10" hidden="1" x14ac:dyDescent="0.2">
      <c r="A20" t="s">
        <v>68</v>
      </c>
      <c r="B20" t="s">
        <v>255</v>
      </c>
      <c r="C20">
        <v>0</v>
      </c>
      <c r="D20" t="s">
        <v>111</v>
      </c>
      <c r="E20">
        <v>-0.57425936378813502</v>
      </c>
      <c r="F20">
        <v>0.27425270602956597</v>
      </c>
      <c r="G20">
        <v>-2.09390591656086</v>
      </c>
      <c r="H20">
        <v>-1.1212391386971801</v>
      </c>
      <c r="I20">
        <v>-2.7279588879095401E-2</v>
      </c>
      <c r="J20">
        <v>3.9891420618264402E-2</v>
      </c>
    </row>
    <row r="21" spans="1:10" hidden="1" x14ac:dyDescent="0.2">
      <c r="A21" t="s">
        <v>68</v>
      </c>
      <c r="B21" t="s">
        <v>255</v>
      </c>
      <c r="C21">
        <v>0</v>
      </c>
      <c r="D21" t="s">
        <v>202</v>
      </c>
      <c r="E21">
        <v>-0.19612315737310501</v>
      </c>
      <c r="F21">
        <v>0.22583501734425401</v>
      </c>
      <c r="G21">
        <v>-0.86843554945308599</v>
      </c>
      <c r="H21">
        <v>-0.64653689710197504</v>
      </c>
      <c r="I21">
        <v>0.25429058235576601</v>
      </c>
      <c r="J21">
        <v>0.38812365901187701</v>
      </c>
    </row>
    <row r="22" spans="1:10" hidden="1" x14ac:dyDescent="0.2">
      <c r="A22" t="s">
        <v>68</v>
      </c>
      <c r="B22" t="s">
        <v>255</v>
      </c>
      <c r="C22">
        <v>0</v>
      </c>
      <c r="D22" t="s">
        <v>96</v>
      </c>
      <c r="E22">
        <v>5.5520770074298197E-2</v>
      </c>
      <c r="F22">
        <v>0.163671510511817</v>
      </c>
      <c r="G22">
        <v>0.33922073487731202</v>
      </c>
      <c r="H22">
        <v>-0.27091176463011701</v>
      </c>
      <c r="I22">
        <v>0.38195330477871398</v>
      </c>
      <c r="J22">
        <v>0.73545903641226695</v>
      </c>
    </row>
    <row r="23" spans="1:10" hidden="1" x14ac:dyDescent="0.2">
      <c r="A23" t="s">
        <v>68</v>
      </c>
      <c r="B23" t="s">
        <v>255</v>
      </c>
      <c r="C23">
        <v>1</v>
      </c>
      <c r="D23" t="s">
        <v>111</v>
      </c>
      <c r="E23">
        <v>0.51956729794516199</v>
      </c>
      <c r="F23">
        <v>0.68152887612464996</v>
      </c>
      <c r="G23">
        <v>0.76235551588005601</v>
      </c>
      <c r="H23">
        <v>-0.87431576147435897</v>
      </c>
      <c r="I23">
        <v>1.9134503573646799</v>
      </c>
      <c r="J23">
        <v>0.45200433906454202</v>
      </c>
    </row>
    <row r="24" spans="1:10" hidden="1" x14ac:dyDescent="0.2">
      <c r="A24" t="s">
        <v>68</v>
      </c>
      <c r="B24" t="s">
        <v>255</v>
      </c>
      <c r="C24">
        <v>1</v>
      </c>
      <c r="D24" t="s">
        <v>202</v>
      </c>
      <c r="E24">
        <v>-0.474929689313492</v>
      </c>
      <c r="F24">
        <v>0.59486841457984396</v>
      </c>
      <c r="G24">
        <v>-0.79837772131326701</v>
      </c>
      <c r="H24">
        <v>-1.69157220398067</v>
      </c>
      <c r="I24">
        <v>0.74171282535369099</v>
      </c>
      <c r="J24">
        <v>0.431141228202229</v>
      </c>
    </row>
    <row r="25" spans="1:10" hidden="1" x14ac:dyDescent="0.2">
      <c r="A25" t="s">
        <v>68</v>
      </c>
      <c r="B25" t="s">
        <v>255</v>
      </c>
      <c r="C25">
        <v>1</v>
      </c>
      <c r="D25" t="s">
        <v>96</v>
      </c>
      <c r="E25">
        <v>-2.5230817074812499E-2</v>
      </c>
      <c r="F25">
        <v>0.49320913651081799</v>
      </c>
      <c r="G25">
        <v>-5.1156426771220502E-2</v>
      </c>
      <c r="H25">
        <v>-1.03395676283741</v>
      </c>
      <c r="I25">
        <v>0.98349512868778799</v>
      </c>
      <c r="J25">
        <v>0.95955161633130304</v>
      </c>
    </row>
    <row r="26" spans="1:10" hidden="1" x14ac:dyDescent="0.2">
      <c r="A26" t="s">
        <v>68</v>
      </c>
      <c r="B26" t="s">
        <v>26</v>
      </c>
      <c r="C26">
        <v>0</v>
      </c>
      <c r="D26" t="s">
        <v>111</v>
      </c>
      <c r="E26">
        <v>-9.5010494407581206E-2</v>
      </c>
      <c r="F26">
        <v>0.49107235524847298</v>
      </c>
      <c r="G26">
        <v>-0.19347555078621301</v>
      </c>
      <c r="H26">
        <v>-1.0744234242800199</v>
      </c>
      <c r="I26">
        <v>0.88440243546485697</v>
      </c>
      <c r="J26">
        <v>0.84714686267039196</v>
      </c>
    </row>
    <row r="27" spans="1:10" hidden="1" x14ac:dyDescent="0.2">
      <c r="A27" t="s">
        <v>68</v>
      </c>
      <c r="B27" t="s">
        <v>26</v>
      </c>
      <c r="C27">
        <v>0</v>
      </c>
      <c r="D27" t="s">
        <v>202</v>
      </c>
      <c r="E27">
        <v>-0.25055027788280898</v>
      </c>
      <c r="F27">
        <v>0.40437644342829898</v>
      </c>
      <c r="G27">
        <v>-0.61959662080868605</v>
      </c>
      <c r="H27">
        <v>-1.0570536637822501</v>
      </c>
      <c r="I27">
        <v>0.555953108016632</v>
      </c>
      <c r="J27">
        <v>0.53753499318165199</v>
      </c>
    </row>
    <row r="28" spans="1:10" hidden="1" x14ac:dyDescent="0.2">
      <c r="A28" t="s">
        <v>68</v>
      </c>
      <c r="B28" t="s">
        <v>26</v>
      </c>
      <c r="C28">
        <v>0</v>
      </c>
      <c r="D28" t="s">
        <v>96</v>
      </c>
      <c r="E28">
        <v>0.45168703085506701</v>
      </c>
      <c r="F28">
        <v>0.29306749719161701</v>
      </c>
      <c r="G28">
        <v>1.5412389131632001</v>
      </c>
      <c r="H28">
        <v>-0.132817661797791</v>
      </c>
      <c r="I28">
        <v>1.0361917235079301</v>
      </c>
      <c r="J28">
        <v>0.127767417191225</v>
      </c>
    </row>
    <row r="29" spans="1:10" hidden="1" x14ac:dyDescent="0.2">
      <c r="A29" t="s">
        <v>68</v>
      </c>
      <c r="B29" t="s">
        <v>26</v>
      </c>
      <c r="C29">
        <v>1</v>
      </c>
      <c r="D29" t="s">
        <v>111</v>
      </c>
      <c r="E29">
        <v>4.63294225910156E-2</v>
      </c>
      <c r="F29">
        <v>0.387256337395118</v>
      </c>
      <c r="G29">
        <v>0.119635027544419</v>
      </c>
      <c r="H29">
        <v>-0.74569871775322305</v>
      </c>
      <c r="I29">
        <v>0.83835756293525499</v>
      </c>
      <c r="J29">
        <v>0.90559722637145901</v>
      </c>
    </row>
    <row r="30" spans="1:10" hidden="1" x14ac:dyDescent="0.2">
      <c r="A30" t="s">
        <v>68</v>
      </c>
      <c r="B30" t="s">
        <v>26</v>
      </c>
      <c r="C30">
        <v>1</v>
      </c>
      <c r="D30" t="s">
        <v>202</v>
      </c>
      <c r="E30">
        <v>-0.34888927979960299</v>
      </c>
      <c r="F30">
        <v>0.33801438432389702</v>
      </c>
      <c r="G30">
        <v>-1.03217287778287</v>
      </c>
      <c r="H30">
        <v>-1.0402063180860699</v>
      </c>
      <c r="I30">
        <v>0.34242775848686702</v>
      </c>
      <c r="J30">
        <v>0.31052281325411601</v>
      </c>
    </row>
    <row r="31" spans="1:10" hidden="1" x14ac:dyDescent="0.2">
      <c r="A31" t="s">
        <v>68</v>
      </c>
      <c r="B31" t="s">
        <v>26</v>
      </c>
      <c r="C31">
        <v>1</v>
      </c>
      <c r="D31" t="s">
        <v>96</v>
      </c>
      <c r="E31">
        <v>0.358649184418455</v>
      </c>
      <c r="F31">
        <v>0.28024984775561401</v>
      </c>
      <c r="G31">
        <v>1.2797480080389101</v>
      </c>
      <c r="H31">
        <v>-0.21452611141450501</v>
      </c>
      <c r="I31">
        <v>0.93182448025141495</v>
      </c>
      <c r="J31">
        <v>0.210777525028047</v>
      </c>
    </row>
    <row r="32" spans="1:10" hidden="1" x14ac:dyDescent="0.2">
      <c r="A32" t="s">
        <v>68</v>
      </c>
      <c r="B32" t="s">
        <v>17</v>
      </c>
      <c r="C32">
        <v>0</v>
      </c>
      <c r="D32" t="s">
        <v>111</v>
      </c>
      <c r="E32">
        <v>-0.42950260225729198</v>
      </c>
      <c r="F32">
        <v>0.49701280580767498</v>
      </c>
      <c r="G32">
        <v>-0.86416808025564895</v>
      </c>
      <c r="H32">
        <v>-1.42076338718565</v>
      </c>
      <c r="I32">
        <v>0.56175818267106103</v>
      </c>
      <c r="J32">
        <v>0.390447180481933</v>
      </c>
    </row>
    <row r="33" spans="1:10" hidden="1" x14ac:dyDescent="0.2">
      <c r="A33" t="s">
        <v>68</v>
      </c>
      <c r="B33" t="s">
        <v>17</v>
      </c>
      <c r="C33">
        <v>0</v>
      </c>
      <c r="D33" t="s">
        <v>202</v>
      </c>
      <c r="E33">
        <v>-0.271773574096349</v>
      </c>
      <c r="F33">
        <v>0.40926814267346701</v>
      </c>
      <c r="G33">
        <v>-0.66404771287850195</v>
      </c>
      <c r="H33">
        <v>-1.08803314650998</v>
      </c>
      <c r="I33">
        <v>0.54448599831727895</v>
      </c>
      <c r="J33">
        <v>0.508841184917454</v>
      </c>
    </row>
    <row r="34" spans="1:10" hidden="1" x14ac:dyDescent="0.2">
      <c r="A34" t="s">
        <v>68</v>
      </c>
      <c r="B34" t="s">
        <v>17</v>
      </c>
      <c r="C34">
        <v>0</v>
      </c>
      <c r="D34" t="s">
        <v>96</v>
      </c>
      <c r="E34">
        <v>0.30530172158865998</v>
      </c>
      <c r="F34">
        <v>0.29661270383778399</v>
      </c>
      <c r="G34">
        <v>1.02929415240295</v>
      </c>
      <c r="H34">
        <v>-0.28627366276821298</v>
      </c>
      <c r="I34">
        <v>0.89687710594553205</v>
      </c>
      <c r="J34">
        <v>0.30688495100577901</v>
      </c>
    </row>
    <row r="35" spans="1:10" hidden="1" x14ac:dyDescent="0.2">
      <c r="A35" t="s">
        <v>68</v>
      </c>
      <c r="B35" t="s">
        <v>17</v>
      </c>
      <c r="C35">
        <v>1</v>
      </c>
      <c r="D35" t="s">
        <v>111</v>
      </c>
      <c r="E35">
        <v>0.164864903064951</v>
      </c>
      <c r="F35">
        <v>0.309414299344143</v>
      </c>
      <c r="G35">
        <v>0.53282897207533797</v>
      </c>
      <c r="H35">
        <v>-0.46795839365341202</v>
      </c>
      <c r="I35">
        <v>0.79768819978331296</v>
      </c>
      <c r="J35">
        <v>0.59821169161341403</v>
      </c>
    </row>
    <row r="36" spans="1:10" hidden="1" x14ac:dyDescent="0.2">
      <c r="A36" t="s">
        <v>68</v>
      </c>
      <c r="B36" t="s">
        <v>17</v>
      </c>
      <c r="C36">
        <v>1</v>
      </c>
      <c r="D36" t="s">
        <v>202</v>
      </c>
      <c r="E36">
        <v>-0.33654074735714201</v>
      </c>
      <c r="F36">
        <v>0.270070425696122</v>
      </c>
      <c r="G36">
        <v>-1.2461221790193799</v>
      </c>
      <c r="H36">
        <v>-0.88889678745424805</v>
      </c>
      <c r="I36">
        <v>0.215815292739963</v>
      </c>
      <c r="J36">
        <v>0.22269255997211601</v>
      </c>
    </row>
    <row r="37" spans="1:10" hidden="1" x14ac:dyDescent="0.2">
      <c r="A37" t="s">
        <v>68</v>
      </c>
      <c r="B37" t="s">
        <v>17</v>
      </c>
      <c r="C37">
        <v>1</v>
      </c>
      <c r="D37" t="s">
        <v>96</v>
      </c>
      <c r="E37">
        <v>0.185799526494319</v>
      </c>
      <c r="F37">
        <v>0.223917085173825</v>
      </c>
      <c r="G37">
        <v>0.82976931550392696</v>
      </c>
      <c r="H37">
        <v>-0.27216233348314101</v>
      </c>
      <c r="I37">
        <v>0.64376138647178005</v>
      </c>
      <c r="J37">
        <v>0.41344782213744402</v>
      </c>
    </row>
    <row r="38" spans="1:10" hidden="1" x14ac:dyDescent="0.2">
      <c r="A38" t="s">
        <v>68</v>
      </c>
      <c r="B38" t="s">
        <v>21</v>
      </c>
      <c r="C38">
        <v>0</v>
      </c>
      <c r="D38" t="s">
        <v>111</v>
      </c>
      <c r="E38">
        <v>-0.39111710022672302</v>
      </c>
      <c r="F38">
        <v>0.454590999234954</v>
      </c>
      <c r="G38">
        <v>-0.860371412731328</v>
      </c>
      <c r="H38">
        <v>-1.29777025977806</v>
      </c>
      <c r="I38">
        <v>0.51553605932461599</v>
      </c>
      <c r="J38">
        <v>0.39252160550988602</v>
      </c>
    </row>
    <row r="39" spans="1:10" hidden="1" x14ac:dyDescent="0.2">
      <c r="A39" t="s">
        <v>68</v>
      </c>
      <c r="B39" t="s">
        <v>21</v>
      </c>
      <c r="C39">
        <v>0</v>
      </c>
      <c r="D39" t="s">
        <v>202</v>
      </c>
      <c r="E39">
        <v>-0.150274202594432</v>
      </c>
      <c r="F39">
        <v>0.37433565445184702</v>
      </c>
      <c r="G39">
        <v>-0.40144239750414201</v>
      </c>
      <c r="H39">
        <v>-0.89686312409235103</v>
      </c>
      <c r="I39">
        <v>0.59631471890348797</v>
      </c>
      <c r="J39">
        <v>0.68931737442721897</v>
      </c>
    </row>
    <row r="40" spans="1:10" hidden="1" x14ac:dyDescent="0.2">
      <c r="A40" t="s">
        <v>68</v>
      </c>
      <c r="B40" t="s">
        <v>21</v>
      </c>
      <c r="C40">
        <v>0</v>
      </c>
      <c r="D40" t="s">
        <v>96</v>
      </c>
      <c r="E40">
        <v>0.29365712325256599</v>
      </c>
      <c r="F40">
        <v>0.27129575706662301</v>
      </c>
      <c r="G40">
        <v>1.0824243122256101</v>
      </c>
      <c r="H40">
        <v>-0.24742520290716699</v>
      </c>
      <c r="I40">
        <v>0.83473944941229805</v>
      </c>
      <c r="J40">
        <v>0.282778691967148</v>
      </c>
    </row>
    <row r="41" spans="1:10" hidden="1" x14ac:dyDescent="0.2">
      <c r="A41" t="s">
        <v>68</v>
      </c>
      <c r="B41" t="s">
        <v>21</v>
      </c>
      <c r="C41">
        <v>1</v>
      </c>
      <c r="D41" t="s">
        <v>111</v>
      </c>
      <c r="E41">
        <v>0.243268178707785</v>
      </c>
      <c r="F41">
        <v>0.448180147122064</v>
      </c>
      <c r="G41">
        <v>0.54279106352635897</v>
      </c>
      <c r="H41">
        <v>-0.67336314320165702</v>
      </c>
      <c r="I41">
        <v>1.1598995006172299</v>
      </c>
      <c r="J41">
        <v>0.59142130246520197</v>
      </c>
    </row>
    <row r="42" spans="1:10" hidden="1" x14ac:dyDescent="0.2">
      <c r="A42" t="s">
        <v>68</v>
      </c>
      <c r="B42" t="s">
        <v>21</v>
      </c>
      <c r="C42">
        <v>1</v>
      </c>
      <c r="D42" t="s">
        <v>202</v>
      </c>
      <c r="E42">
        <v>-0.41658342724206299</v>
      </c>
      <c r="F42">
        <v>0.39119136826698703</v>
      </c>
      <c r="G42">
        <v>-1.0649095584280499</v>
      </c>
      <c r="H42">
        <v>-1.2166596093681601</v>
      </c>
      <c r="I42">
        <v>0.38349275488402901</v>
      </c>
      <c r="J42">
        <v>0.29570347510825201</v>
      </c>
    </row>
    <row r="43" spans="1:10" hidden="1" x14ac:dyDescent="0.2">
      <c r="A43" t="s">
        <v>68</v>
      </c>
      <c r="B43" t="s">
        <v>21</v>
      </c>
      <c r="C43">
        <v>1</v>
      </c>
      <c r="D43" t="s">
        <v>96</v>
      </c>
      <c r="E43">
        <v>0.166740493368496</v>
      </c>
      <c r="F43">
        <v>0.32433921893418899</v>
      </c>
      <c r="G43">
        <v>0.514092911478364</v>
      </c>
      <c r="H43">
        <v>-0.49660769130187699</v>
      </c>
      <c r="I43">
        <v>0.83008867803886799</v>
      </c>
      <c r="J43">
        <v>0.61108253543435798</v>
      </c>
    </row>
    <row r="44" spans="1:10" hidden="1" x14ac:dyDescent="0.2">
      <c r="A44" t="s">
        <v>68</v>
      </c>
      <c r="B44" t="s">
        <v>29</v>
      </c>
      <c r="C44">
        <v>0</v>
      </c>
      <c r="D44" t="s">
        <v>111</v>
      </c>
      <c r="E44">
        <v>0.18683336170637199</v>
      </c>
      <c r="F44">
        <v>0.472617153363939</v>
      </c>
      <c r="G44">
        <v>0.39531650592144502</v>
      </c>
      <c r="H44">
        <v>-0.75577182862232195</v>
      </c>
      <c r="I44">
        <v>1.12943855203507</v>
      </c>
      <c r="J44">
        <v>0.69381147127256604</v>
      </c>
    </row>
    <row r="45" spans="1:10" hidden="1" x14ac:dyDescent="0.2">
      <c r="A45" t="s">
        <v>68</v>
      </c>
      <c r="B45" t="s">
        <v>29</v>
      </c>
      <c r="C45">
        <v>0</v>
      </c>
      <c r="D45" t="s">
        <v>202</v>
      </c>
      <c r="E45">
        <v>0.18494756916779101</v>
      </c>
      <c r="F45">
        <v>0.38917939798060103</v>
      </c>
      <c r="G45">
        <v>0.47522445979272898</v>
      </c>
      <c r="H45">
        <v>-0.59124626530148805</v>
      </c>
      <c r="I45">
        <v>0.96114140363707001</v>
      </c>
      <c r="J45">
        <v>0.63610652075477603</v>
      </c>
    </row>
    <row r="46" spans="1:10" hidden="1" x14ac:dyDescent="0.2">
      <c r="A46" t="s">
        <v>68</v>
      </c>
      <c r="B46" t="s">
        <v>29</v>
      </c>
      <c r="C46">
        <v>0</v>
      </c>
      <c r="D46" t="s">
        <v>96</v>
      </c>
      <c r="E46">
        <v>0.42517224372381901</v>
      </c>
      <c r="F46">
        <v>0.28205360123787299</v>
      </c>
      <c r="G46">
        <v>1.5074164692733201</v>
      </c>
      <c r="H46">
        <v>-0.13736592609370701</v>
      </c>
      <c r="I46">
        <v>0.98771041354134503</v>
      </c>
      <c r="J46">
        <v>0.13620398672402401</v>
      </c>
    </row>
    <row r="47" spans="1:10" hidden="1" x14ac:dyDescent="0.2">
      <c r="A47" t="s">
        <v>68</v>
      </c>
      <c r="B47" t="s">
        <v>29</v>
      </c>
      <c r="C47">
        <v>1</v>
      </c>
      <c r="D47" t="s">
        <v>111</v>
      </c>
      <c r="E47">
        <v>-0.58192778047376803</v>
      </c>
      <c r="F47">
        <v>0.259364970971669</v>
      </c>
      <c r="G47">
        <v>-2.24366373876037</v>
      </c>
      <c r="H47">
        <v>-1.11238870723591</v>
      </c>
      <c r="I47">
        <v>-5.1466853711622698E-2</v>
      </c>
      <c r="J47">
        <v>3.2657973821702498E-2</v>
      </c>
    </row>
    <row r="48" spans="1:10" hidden="1" x14ac:dyDescent="0.2">
      <c r="A48" t="s">
        <v>68</v>
      </c>
      <c r="B48" t="s">
        <v>29</v>
      </c>
      <c r="C48">
        <v>1</v>
      </c>
      <c r="D48" t="s">
        <v>202</v>
      </c>
      <c r="E48">
        <v>0.103690307579365</v>
      </c>
      <c r="F48">
        <v>0.226385167942972</v>
      </c>
      <c r="G48">
        <v>0.45802606469998702</v>
      </c>
      <c r="H48">
        <v>-0.35931934843679197</v>
      </c>
      <c r="I48">
        <v>0.56669996359552199</v>
      </c>
      <c r="J48">
        <v>0.65034737746867599</v>
      </c>
    </row>
    <row r="49" spans="1:10" hidden="1" x14ac:dyDescent="0.2">
      <c r="A49" t="s">
        <v>68</v>
      </c>
      <c r="B49" t="s">
        <v>29</v>
      </c>
      <c r="C49">
        <v>1</v>
      </c>
      <c r="D49" t="s">
        <v>96</v>
      </c>
      <c r="E49">
        <v>4.0137388465252399E-3</v>
      </c>
      <c r="F49">
        <v>0.18769736375879401</v>
      </c>
      <c r="G49">
        <v>2.13840981362062E-2</v>
      </c>
      <c r="H49">
        <v>-0.37987047326312401</v>
      </c>
      <c r="I49">
        <v>0.38789795095617502</v>
      </c>
      <c r="J49">
        <v>0.983085717332009</v>
      </c>
    </row>
    <row r="50" spans="1:10" hidden="1" x14ac:dyDescent="0.2">
      <c r="A50" t="s">
        <v>68</v>
      </c>
      <c r="B50" t="s">
        <v>18</v>
      </c>
      <c r="C50">
        <v>0</v>
      </c>
      <c r="D50" t="s">
        <v>111</v>
      </c>
      <c r="E50">
        <v>-0.401020763680906</v>
      </c>
      <c r="F50">
        <v>0.420645222502396</v>
      </c>
      <c r="G50">
        <v>-0.953346768793081</v>
      </c>
      <c r="H50">
        <v>-1.2399712063289301</v>
      </c>
      <c r="I50">
        <v>0.43792967896712098</v>
      </c>
      <c r="J50">
        <v>0.34369493169721799</v>
      </c>
    </row>
    <row r="51" spans="1:10" hidden="1" x14ac:dyDescent="0.2">
      <c r="A51" t="s">
        <v>68</v>
      </c>
      <c r="B51" t="s">
        <v>18</v>
      </c>
      <c r="C51">
        <v>0</v>
      </c>
      <c r="D51" t="s">
        <v>202</v>
      </c>
      <c r="E51">
        <v>-0.120184810928661</v>
      </c>
      <c r="F51">
        <v>0.34638280327255999</v>
      </c>
      <c r="G51">
        <v>-0.34697106725038601</v>
      </c>
      <c r="H51">
        <v>-0.81102352865479199</v>
      </c>
      <c r="I51">
        <v>0.57065390679747097</v>
      </c>
      <c r="J51">
        <v>0.72965401811915898</v>
      </c>
    </row>
    <row r="52" spans="1:10" hidden="1" x14ac:dyDescent="0.2">
      <c r="A52" t="s">
        <v>68</v>
      </c>
      <c r="B52" t="s">
        <v>18</v>
      </c>
      <c r="C52">
        <v>0</v>
      </c>
      <c r="D52" t="s">
        <v>96</v>
      </c>
      <c r="E52">
        <v>1.5656173451384502E-2</v>
      </c>
      <c r="F52">
        <v>0.25103722750186602</v>
      </c>
      <c r="G52">
        <v>6.2365943120002501E-2</v>
      </c>
      <c r="H52">
        <v>-0.48502178951448299</v>
      </c>
      <c r="I52">
        <v>0.51633413641725201</v>
      </c>
      <c r="J52">
        <v>0.95044915299436195</v>
      </c>
    </row>
    <row r="53" spans="1:10" hidden="1" x14ac:dyDescent="0.2">
      <c r="A53" t="s">
        <v>68</v>
      </c>
      <c r="B53" t="s">
        <v>18</v>
      </c>
      <c r="C53">
        <v>1</v>
      </c>
      <c r="D53" t="s">
        <v>111</v>
      </c>
      <c r="E53">
        <v>-0.85090078691890203</v>
      </c>
      <c r="F53">
        <v>0.28211578282348398</v>
      </c>
      <c r="G53">
        <v>-3.0161403180030502</v>
      </c>
      <c r="H53">
        <v>-1.42789234846296</v>
      </c>
      <c r="I53">
        <v>-0.27390922537484103</v>
      </c>
      <c r="J53">
        <v>5.2819006077536E-3</v>
      </c>
    </row>
    <row r="54" spans="1:10" hidden="1" x14ac:dyDescent="0.2">
      <c r="A54" t="s">
        <v>68</v>
      </c>
      <c r="B54" t="s">
        <v>18</v>
      </c>
      <c r="C54">
        <v>1</v>
      </c>
      <c r="D54" t="s">
        <v>202</v>
      </c>
      <c r="E54">
        <v>-9.79874685634919E-2</v>
      </c>
      <c r="F54">
        <v>0.24624307837172699</v>
      </c>
      <c r="G54">
        <v>-0.39792983913062702</v>
      </c>
      <c r="H54">
        <v>-0.60161111161935499</v>
      </c>
      <c r="I54">
        <v>0.40563617449237099</v>
      </c>
      <c r="J54">
        <v>0.693596218591365</v>
      </c>
    </row>
    <row r="55" spans="1:10" hidden="1" x14ac:dyDescent="0.2">
      <c r="A55" t="s">
        <v>68</v>
      </c>
      <c r="B55" t="s">
        <v>18</v>
      </c>
      <c r="C55">
        <v>1</v>
      </c>
      <c r="D55" t="s">
        <v>96</v>
      </c>
      <c r="E55">
        <v>0.115801958727742</v>
      </c>
      <c r="F55">
        <v>0.204161681943166</v>
      </c>
      <c r="G55">
        <v>0.56720711558390902</v>
      </c>
      <c r="H55">
        <v>-0.30175556497008899</v>
      </c>
      <c r="I55">
        <v>0.53335948242557396</v>
      </c>
      <c r="J55">
        <v>0.574938278450148</v>
      </c>
    </row>
    <row r="56" spans="1:10" hidden="1" x14ac:dyDescent="0.2">
      <c r="A56" t="s">
        <v>68</v>
      </c>
      <c r="B56" t="s">
        <v>14</v>
      </c>
      <c r="C56">
        <v>0</v>
      </c>
      <c r="D56" t="s">
        <v>111</v>
      </c>
      <c r="E56">
        <v>-0.41073014314620498</v>
      </c>
      <c r="F56">
        <v>0.412474565209205</v>
      </c>
      <c r="G56">
        <v>-0.99577083725849902</v>
      </c>
      <c r="H56">
        <v>-1.2333847236611299</v>
      </c>
      <c r="I56">
        <v>0.41192443736871698</v>
      </c>
      <c r="J56">
        <v>0.32279128979053801</v>
      </c>
    </row>
    <row r="57" spans="1:10" hidden="1" x14ac:dyDescent="0.2">
      <c r="A57" t="s">
        <v>68</v>
      </c>
      <c r="B57" t="s">
        <v>14</v>
      </c>
      <c r="C57">
        <v>0</v>
      </c>
      <c r="D57" t="s">
        <v>202</v>
      </c>
      <c r="E57">
        <v>-0.17218063756284399</v>
      </c>
      <c r="F57">
        <v>0.33965462706516503</v>
      </c>
      <c r="G57">
        <v>-0.50692857933541402</v>
      </c>
      <c r="H57">
        <v>-0.84960043096641003</v>
      </c>
      <c r="I57">
        <v>0.50523915584072299</v>
      </c>
      <c r="J57">
        <v>0.61379815373136304</v>
      </c>
    </row>
    <row r="58" spans="1:10" hidden="1" x14ac:dyDescent="0.2">
      <c r="A58" t="s">
        <v>68</v>
      </c>
      <c r="B58" t="s">
        <v>14</v>
      </c>
      <c r="C58">
        <v>0</v>
      </c>
      <c r="D58" t="s">
        <v>96</v>
      </c>
      <c r="E58">
        <v>-0.15169945761810599</v>
      </c>
      <c r="F58">
        <v>0.24616105384286499</v>
      </c>
      <c r="G58">
        <v>-0.61626100168933295</v>
      </c>
      <c r="H58">
        <v>-0.64265219887502101</v>
      </c>
      <c r="I58">
        <v>0.33925328363880902</v>
      </c>
      <c r="J58">
        <v>0.53972121791585703</v>
      </c>
    </row>
    <row r="59" spans="1:10" hidden="1" x14ac:dyDescent="0.2">
      <c r="A59" t="s">
        <v>68</v>
      </c>
      <c r="B59" t="s">
        <v>14</v>
      </c>
      <c r="C59">
        <v>1</v>
      </c>
      <c r="D59" t="s">
        <v>111</v>
      </c>
      <c r="E59">
        <v>-0.762470238707045</v>
      </c>
      <c r="F59">
        <v>0.30865088807468</v>
      </c>
      <c r="G59">
        <v>-2.4703322367326601</v>
      </c>
      <c r="H59">
        <v>-1.39373218406796</v>
      </c>
      <c r="I59">
        <v>-0.13120829334612599</v>
      </c>
      <c r="J59">
        <v>1.9621950921580401E-2</v>
      </c>
    </row>
    <row r="60" spans="1:10" hidden="1" x14ac:dyDescent="0.2">
      <c r="A60" t="s">
        <v>68</v>
      </c>
      <c r="B60" t="s">
        <v>14</v>
      </c>
      <c r="C60">
        <v>1</v>
      </c>
      <c r="D60" t="s">
        <v>202</v>
      </c>
      <c r="E60">
        <v>-0.23971710273611099</v>
      </c>
      <c r="F60">
        <v>0.2694040867229</v>
      </c>
      <c r="G60">
        <v>-0.88980499758593401</v>
      </c>
      <c r="H60">
        <v>-0.79071032661347596</v>
      </c>
      <c r="I60">
        <v>0.31127612114125403</v>
      </c>
      <c r="J60">
        <v>0.38089293631069199</v>
      </c>
    </row>
    <row r="61" spans="1:10" hidden="1" x14ac:dyDescent="0.2">
      <c r="A61" t="s">
        <v>68</v>
      </c>
      <c r="B61" t="s">
        <v>14</v>
      </c>
      <c r="C61">
        <v>1</v>
      </c>
      <c r="D61" t="s">
        <v>96</v>
      </c>
      <c r="E61">
        <v>8.8805402067292497E-2</v>
      </c>
      <c r="F61">
        <v>0.223364619348524</v>
      </c>
      <c r="G61">
        <v>0.397580432954451</v>
      </c>
      <c r="H61">
        <v>-0.36802653842799798</v>
      </c>
      <c r="I61">
        <v>0.54563734256258301</v>
      </c>
      <c r="J61">
        <v>0.69385095130775998</v>
      </c>
    </row>
    <row r="62" spans="1:10" hidden="1" x14ac:dyDescent="0.2">
      <c r="A62" t="s">
        <v>75</v>
      </c>
      <c r="B62" t="s">
        <v>252</v>
      </c>
      <c r="C62">
        <v>0</v>
      </c>
      <c r="D62" t="s">
        <v>201</v>
      </c>
      <c r="E62">
        <v>0.59375188873371598</v>
      </c>
      <c r="F62">
        <v>0.43903668472742702</v>
      </c>
      <c r="G62">
        <v>1.3523969850089901</v>
      </c>
      <c r="H62">
        <v>-0.281879168715651</v>
      </c>
      <c r="I62">
        <v>1.4693829461830801</v>
      </c>
      <c r="J62">
        <v>0.18060124192195801</v>
      </c>
    </row>
    <row r="63" spans="1:10" hidden="1" x14ac:dyDescent="0.2">
      <c r="A63" t="s">
        <v>75</v>
      </c>
      <c r="B63" t="s">
        <v>252</v>
      </c>
      <c r="C63">
        <v>0</v>
      </c>
      <c r="D63" t="s">
        <v>123</v>
      </c>
      <c r="E63">
        <v>-2.7029601685024201E-2</v>
      </c>
      <c r="F63">
        <v>0.46044619727042502</v>
      </c>
      <c r="G63">
        <v>-5.87030620412516E-2</v>
      </c>
      <c r="H63">
        <v>-0.94536058549507795</v>
      </c>
      <c r="I63">
        <v>0.89130138212502896</v>
      </c>
      <c r="J63">
        <v>0.95335588216975298</v>
      </c>
    </row>
    <row r="64" spans="1:10" hidden="1" x14ac:dyDescent="0.2">
      <c r="A64" t="s">
        <v>75</v>
      </c>
      <c r="B64" t="s">
        <v>252</v>
      </c>
      <c r="C64">
        <v>0</v>
      </c>
      <c r="D64" t="s">
        <v>116</v>
      </c>
      <c r="E64">
        <v>3.3559868138889497E-2</v>
      </c>
      <c r="F64">
        <v>0.80878339262265497</v>
      </c>
      <c r="G64">
        <v>4.1494259705388302E-2</v>
      </c>
      <c r="H64">
        <v>-1.57950774549194</v>
      </c>
      <c r="I64">
        <v>1.64662748176972</v>
      </c>
      <c r="J64">
        <v>0.96701999687602003</v>
      </c>
    </row>
    <row r="65" spans="1:10" hidden="1" x14ac:dyDescent="0.2">
      <c r="A65" t="s">
        <v>75</v>
      </c>
      <c r="B65" t="s">
        <v>252</v>
      </c>
      <c r="C65">
        <v>1</v>
      </c>
      <c r="D65" t="s">
        <v>201</v>
      </c>
      <c r="E65">
        <v>0.71817408758333401</v>
      </c>
      <c r="F65">
        <v>0.47410443038328398</v>
      </c>
      <c r="G65">
        <v>1.51480146895639</v>
      </c>
      <c r="H65">
        <v>-0.25147834690300003</v>
      </c>
      <c r="I65">
        <v>1.68782652206967</v>
      </c>
      <c r="J65">
        <v>0.14064720621889601</v>
      </c>
    </row>
    <row r="66" spans="1:10" hidden="1" x14ac:dyDescent="0.2">
      <c r="A66" t="s">
        <v>75</v>
      </c>
      <c r="B66" t="s">
        <v>252</v>
      </c>
      <c r="C66">
        <v>1</v>
      </c>
      <c r="D66" t="s">
        <v>123</v>
      </c>
      <c r="E66">
        <v>0.38444655239285702</v>
      </c>
      <c r="F66">
        <v>0.44729683685413102</v>
      </c>
      <c r="G66">
        <v>0.85948864538523395</v>
      </c>
      <c r="H66">
        <v>-0.53037819717340795</v>
      </c>
      <c r="I66">
        <v>1.29927130195912</v>
      </c>
      <c r="J66">
        <v>0.39712041215268501</v>
      </c>
    </row>
    <row r="67" spans="1:10" hidden="1" x14ac:dyDescent="0.2">
      <c r="A67" t="s">
        <v>75</v>
      </c>
      <c r="B67" t="s">
        <v>252</v>
      </c>
      <c r="C67">
        <v>1</v>
      </c>
      <c r="D67" t="s">
        <v>116</v>
      </c>
      <c r="E67">
        <v>0.31516919825</v>
      </c>
      <c r="F67">
        <v>0.50926985166819405</v>
      </c>
      <c r="G67">
        <v>0.61886482621661898</v>
      </c>
      <c r="H67">
        <v>-0.72640459822631498</v>
      </c>
      <c r="I67">
        <v>1.3567429947263201</v>
      </c>
      <c r="J67">
        <v>0.54083669626581599</v>
      </c>
    </row>
    <row r="68" spans="1:10" hidden="1" x14ac:dyDescent="0.2">
      <c r="A68" t="s">
        <v>75</v>
      </c>
      <c r="B68" t="s">
        <v>253</v>
      </c>
      <c r="C68">
        <v>0</v>
      </c>
      <c r="D68" t="s">
        <v>201</v>
      </c>
      <c r="E68">
        <v>0.34753661376053602</v>
      </c>
      <c r="F68">
        <v>0.37636242294341699</v>
      </c>
      <c r="G68">
        <v>0.92340943881314297</v>
      </c>
      <c r="H68">
        <v>-0.403094570033939</v>
      </c>
      <c r="I68">
        <v>1.0981677975550099</v>
      </c>
      <c r="J68">
        <v>0.35896598463106399</v>
      </c>
    </row>
    <row r="69" spans="1:10" hidden="1" x14ac:dyDescent="0.2">
      <c r="A69" t="s">
        <v>75</v>
      </c>
      <c r="B69" t="s">
        <v>253</v>
      </c>
      <c r="C69">
        <v>0</v>
      </c>
      <c r="D69" t="s">
        <v>123</v>
      </c>
      <c r="E69">
        <v>5.0634453712559799E-2</v>
      </c>
      <c r="F69">
        <v>0.39471564101156797</v>
      </c>
      <c r="G69">
        <v>0.12828083929685399</v>
      </c>
      <c r="H69">
        <v>-0.73660106931746305</v>
      </c>
      <c r="I69">
        <v>0.83786997674258301</v>
      </c>
      <c r="J69">
        <v>0.89829456898734095</v>
      </c>
    </row>
    <row r="70" spans="1:10" hidden="1" x14ac:dyDescent="0.2">
      <c r="A70" t="s">
        <v>75</v>
      </c>
      <c r="B70" t="s">
        <v>253</v>
      </c>
      <c r="C70">
        <v>0</v>
      </c>
      <c r="D70" t="s">
        <v>116</v>
      </c>
      <c r="E70">
        <v>-6.7887633972223096E-2</v>
      </c>
      <c r="F70">
        <v>0.69332629338899399</v>
      </c>
      <c r="G70">
        <v>-9.7915850905331794E-2</v>
      </c>
      <c r="H70">
        <v>-1.45068332407399</v>
      </c>
      <c r="I70">
        <v>1.3149080561295401</v>
      </c>
      <c r="J70">
        <v>0.92227894830306301</v>
      </c>
    </row>
    <row r="71" spans="1:10" hidden="1" x14ac:dyDescent="0.2">
      <c r="A71" t="s">
        <v>75</v>
      </c>
      <c r="B71" t="s">
        <v>253</v>
      </c>
      <c r="C71">
        <v>1</v>
      </c>
      <c r="D71" t="s">
        <v>201</v>
      </c>
      <c r="E71">
        <v>0.28857116124999999</v>
      </c>
      <c r="F71">
        <v>0.61920867440583405</v>
      </c>
      <c r="G71">
        <v>0.466032168439663</v>
      </c>
      <c r="H71">
        <v>-0.97785277431051099</v>
      </c>
      <c r="I71">
        <v>1.55499509681051</v>
      </c>
      <c r="J71">
        <v>0.64467402503148497</v>
      </c>
    </row>
    <row r="72" spans="1:10" hidden="1" x14ac:dyDescent="0.2">
      <c r="A72" t="s">
        <v>75</v>
      </c>
      <c r="B72" t="s">
        <v>253</v>
      </c>
      <c r="C72">
        <v>1</v>
      </c>
      <c r="D72" t="s">
        <v>123</v>
      </c>
      <c r="E72">
        <v>0.29355103410714301</v>
      </c>
      <c r="F72">
        <v>0.58419635773168399</v>
      </c>
      <c r="G72">
        <v>0.50248692964629504</v>
      </c>
      <c r="H72">
        <v>-0.90126467355165896</v>
      </c>
      <c r="I72">
        <v>1.4883667417659401</v>
      </c>
      <c r="J72">
        <v>0.61911960189608894</v>
      </c>
    </row>
    <row r="73" spans="1:10" hidden="1" x14ac:dyDescent="0.2">
      <c r="A73" t="s">
        <v>75</v>
      </c>
      <c r="B73" t="s">
        <v>253</v>
      </c>
      <c r="C73">
        <v>1</v>
      </c>
      <c r="D73" t="s">
        <v>116</v>
      </c>
      <c r="E73">
        <v>0.40690836091666599</v>
      </c>
      <c r="F73">
        <v>0.66513681281438697</v>
      </c>
      <c r="G73">
        <v>0.61176641117624897</v>
      </c>
      <c r="H73">
        <v>-0.95344916472498997</v>
      </c>
      <c r="I73">
        <v>1.76726588655832</v>
      </c>
      <c r="J73">
        <v>0.54545899808756504</v>
      </c>
    </row>
    <row r="74" spans="1:10" hidden="1" x14ac:dyDescent="0.2">
      <c r="A74" t="s">
        <v>75</v>
      </c>
      <c r="B74" t="s">
        <v>254</v>
      </c>
      <c r="C74">
        <v>0</v>
      </c>
      <c r="D74" t="s">
        <v>201</v>
      </c>
      <c r="E74">
        <v>0.62062622124903999</v>
      </c>
      <c r="F74">
        <v>0.32549941193736598</v>
      </c>
      <c r="G74">
        <v>1.9066892242756599</v>
      </c>
      <c r="H74">
        <v>-2.8561885778540401E-2</v>
      </c>
      <c r="I74">
        <v>1.2698143282766201</v>
      </c>
      <c r="J74">
        <v>6.0665821566332698E-2</v>
      </c>
    </row>
    <row r="75" spans="1:10" hidden="1" x14ac:dyDescent="0.2">
      <c r="A75" t="s">
        <v>75</v>
      </c>
      <c r="B75" t="s">
        <v>254</v>
      </c>
      <c r="C75">
        <v>0</v>
      </c>
      <c r="D75" t="s">
        <v>123</v>
      </c>
      <c r="E75">
        <v>0.24402203098067601</v>
      </c>
      <c r="F75">
        <v>0.341372308178231</v>
      </c>
      <c r="G75">
        <v>0.71482667203712302</v>
      </c>
      <c r="H75">
        <v>-0.43682356938097799</v>
      </c>
      <c r="I75">
        <v>0.92486763134232997</v>
      </c>
      <c r="J75">
        <v>0.47709342322711201</v>
      </c>
    </row>
    <row r="76" spans="1:10" hidden="1" x14ac:dyDescent="0.2">
      <c r="A76" t="s">
        <v>75</v>
      </c>
      <c r="B76" t="s">
        <v>254</v>
      </c>
      <c r="C76">
        <v>0</v>
      </c>
      <c r="D76" t="s">
        <v>116</v>
      </c>
      <c r="E76">
        <v>1.41711897561111</v>
      </c>
      <c r="F76">
        <v>0.59962761163528799</v>
      </c>
      <c r="G76">
        <v>2.3633317547642299</v>
      </c>
      <c r="H76">
        <v>0.221199413722973</v>
      </c>
      <c r="I76">
        <v>2.61303853749925</v>
      </c>
      <c r="J76">
        <v>2.08930113849983E-2</v>
      </c>
    </row>
    <row r="77" spans="1:10" hidden="1" x14ac:dyDescent="0.2">
      <c r="A77" t="s">
        <v>75</v>
      </c>
      <c r="B77" t="s">
        <v>254</v>
      </c>
      <c r="C77">
        <v>1</v>
      </c>
      <c r="D77" t="s">
        <v>201</v>
      </c>
      <c r="E77">
        <v>-1.43144089627778</v>
      </c>
      <c r="F77">
        <v>0.507579449623623</v>
      </c>
      <c r="G77">
        <v>-2.8201317002475399</v>
      </c>
      <c r="H77">
        <v>-2.4695574323854199</v>
      </c>
      <c r="I77">
        <v>-0.393324360170141</v>
      </c>
      <c r="J77">
        <v>8.5685292694235894E-3</v>
      </c>
    </row>
    <row r="78" spans="1:10" hidden="1" x14ac:dyDescent="0.2">
      <c r="A78" t="s">
        <v>75</v>
      </c>
      <c r="B78" t="s">
        <v>254</v>
      </c>
      <c r="C78">
        <v>1</v>
      </c>
      <c r="D78" t="s">
        <v>123</v>
      </c>
      <c r="E78">
        <v>-1.4790479166428601</v>
      </c>
      <c r="F78">
        <v>0.47887905642489098</v>
      </c>
      <c r="G78">
        <v>-3.0885625437136599</v>
      </c>
      <c r="H78">
        <v>-2.4584655578395802</v>
      </c>
      <c r="I78">
        <v>-0.49963027544613098</v>
      </c>
      <c r="J78">
        <v>4.4034940571923897E-3</v>
      </c>
    </row>
    <row r="79" spans="1:10" hidden="1" x14ac:dyDescent="0.2">
      <c r="A79" t="s">
        <v>75</v>
      </c>
      <c r="B79" t="s">
        <v>254</v>
      </c>
      <c r="C79">
        <v>1</v>
      </c>
      <c r="D79" t="s">
        <v>116</v>
      </c>
      <c r="E79">
        <v>-1.0905296763333301</v>
      </c>
      <c r="F79">
        <v>0.54522779044833802</v>
      </c>
      <c r="G79">
        <v>-2.0001358981291002</v>
      </c>
      <c r="H79">
        <v>-2.2056457150727899</v>
      </c>
      <c r="I79">
        <v>2.4586362406126001E-2</v>
      </c>
      <c r="J79">
        <v>5.4928162649006199E-2</v>
      </c>
    </row>
    <row r="80" spans="1:10" hidden="1" x14ac:dyDescent="0.2">
      <c r="A80" t="s">
        <v>75</v>
      </c>
      <c r="B80" t="s">
        <v>255</v>
      </c>
      <c r="C80">
        <v>0</v>
      </c>
      <c r="D80" t="s">
        <v>201</v>
      </c>
      <c r="E80">
        <v>-1.1034151036397899E-2</v>
      </c>
      <c r="F80">
        <v>0.218848153809935</v>
      </c>
      <c r="G80">
        <v>-5.0419210051828298E-2</v>
      </c>
      <c r="H80">
        <v>-0.44751303083754101</v>
      </c>
      <c r="I80">
        <v>0.42544472876474498</v>
      </c>
      <c r="J80">
        <v>0.95993192279282002</v>
      </c>
    </row>
    <row r="81" spans="1:10" hidden="1" x14ac:dyDescent="0.2">
      <c r="A81" t="s">
        <v>75</v>
      </c>
      <c r="B81" t="s">
        <v>255</v>
      </c>
      <c r="C81">
        <v>0</v>
      </c>
      <c r="D81" t="s">
        <v>123</v>
      </c>
      <c r="E81">
        <v>-0.34233967549516903</v>
      </c>
      <c r="F81">
        <v>0.229520228506642</v>
      </c>
      <c r="G81">
        <v>-1.4915446787526301</v>
      </c>
      <c r="H81">
        <v>-0.800103337131019</v>
      </c>
      <c r="I81">
        <v>0.115423986140681</v>
      </c>
      <c r="J81">
        <v>0.14031160280238</v>
      </c>
    </row>
    <row r="82" spans="1:10" hidden="1" x14ac:dyDescent="0.2">
      <c r="A82" t="s">
        <v>75</v>
      </c>
      <c r="B82" t="s">
        <v>255</v>
      </c>
      <c r="C82">
        <v>0</v>
      </c>
      <c r="D82" t="s">
        <v>116</v>
      </c>
      <c r="E82">
        <v>-0.74562014127777898</v>
      </c>
      <c r="F82">
        <v>0.40315709020418999</v>
      </c>
      <c r="G82">
        <v>-1.8494531273160499</v>
      </c>
      <c r="H82">
        <v>-1.5496916038547</v>
      </c>
      <c r="I82">
        <v>5.84513212991409E-2</v>
      </c>
      <c r="J82">
        <v>6.8614371126662105E-2</v>
      </c>
    </row>
    <row r="83" spans="1:10" hidden="1" x14ac:dyDescent="0.2">
      <c r="A83" t="s">
        <v>75</v>
      </c>
      <c r="B83" t="s">
        <v>255</v>
      </c>
      <c r="C83">
        <v>1</v>
      </c>
      <c r="D83" t="s">
        <v>201</v>
      </c>
      <c r="E83">
        <v>0.68472011988889003</v>
      </c>
      <c r="F83">
        <v>0.92359830709063795</v>
      </c>
      <c r="G83">
        <v>0.74136138474070901</v>
      </c>
      <c r="H83">
        <v>-1.20425051519647</v>
      </c>
      <c r="I83">
        <v>2.5736907549742498</v>
      </c>
      <c r="J83">
        <v>0.464436001800484</v>
      </c>
    </row>
    <row r="84" spans="1:10" hidden="1" x14ac:dyDescent="0.2">
      <c r="A84" t="s">
        <v>75</v>
      </c>
      <c r="B84" t="s">
        <v>255</v>
      </c>
      <c r="C84">
        <v>1</v>
      </c>
      <c r="D84" t="s">
        <v>123</v>
      </c>
      <c r="E84">
        <v>0.95092837257143004</v>
      </c>
      <c r="F84">
        <v>0.87137469049063399</v>
      </c>
      <c r="G84">
        <v>1.09129675551628</v>
      </c>
      <c r="H84">
        <v>-0.83123297382422601</v>
      </c>
      <c r="I84">
        <v>2.73308971896709</v>
      </c>
      <c r="J84">
        <v>0.28412650742977502</v>
      </c>
    </row>
    <row r="85" spans="1:10" hidden="1" x14ac:dyDescent="0.2">
      <c r="A85" t="s">
        <v>75</v>
      </c>
      <c r="B85" t="s">
        <v>255</v>
      </c>
      <c r="C85">
        <v>1</v>
      </c>
      <c r="D85" t="s">
        <v>116</v>
      </c>
      <c r="E85">
        <v>0.68578911383333396</v>
      </c>
      <c r="F85">
        <v>0.99210372801786795</v>
      </c>
      <c r="G85">
        <v>0.69124739124151602</v>
      </c>
      <c r="H85">
        <v>-1.34329083877917</v>
      </c>
      <c r="I85">
        <v>2.7148690664458401</v>
      </c>
      <c r="J85">
        <v>0.49490686093962399</v>
      </c>
    </row>
    <row r="86" spans="1:10" hidden="1" x14ac:dyDescent="0.2">
      <c r="A86" t="s">
        <v>75</v>
      </c>
      <c r="B86" t="s">
        <v>26</v>
      </c>
      <c r="C86">
        <v>0</v>
      </c>
      <c r="D86" t="s">
        <v>201</v>
      </c>
      <c r="E86">
        <v>0.612061455287356</v>
      </c>
      <c r="F86">
        <v>0.39186588124909499</v>
      </c>
      <c r="G86">
        <v>1.5619156567965899</v>
      </c>
      <c r="H86">
        <v>-0.16949040111276001</v>
      </c>
      <c r="I86">
        <v>1.39361331168747</v>
      </c>
      <c r="J86">
        <v>0.122817826305616</v>
      </c>
    </row>
    <row r="87" spans="1:10" hidden="1" x14ac:dyDescent="0.2">
      <c r="A87" t="s">
        <v>75</v>
      </c>
      <c r="B87" t="s">
        <v>26</v>
      </c>
      <c r="C87">
        <v>0</v>
      </c>
      <c r="D87" t="s">
        <v>123</v>
      </c>
      <c r="E87">
        <v>-3.6430272855072901E-2</v>
      </c>
      <c r="F87">
        <v>0.41097512152814802</v>
      </c>
      <c r="G87">
        <v>-8.8643499196770004E-2</v>
      </c>
      <c r="H87">
        <v>-0.85609430724548596</v>
      </c>
      <c r="I87">
        <v>0.78323376153533997</v>
      </c>
      <c r="J87">
        <v>0.92961835752865196</v>
      </c>
    </row>
    <row r="88" spans="1:10" hidden="1" x14ac:dyDescent="0.2">
      <c r="A88" t="s">
        <v>75</v>
      </c>
      <c r="B88" t="s">
        <v>26</v>
      </c>
      <c r="C88">
        <v>0</v>
      </c>
      <c r="D88" t="s">
        <v>116</v>
      </c>
      <c r="E88">
        <v>7.4530626666667002E-2</v>
      </c>
      <c r="F88">
        <v>0.72188641157965205</v>
      </c>
      <c r="G88">
        <v>0.103244257643771</v>
      </c>
      <c r="H88">
        <v>-1.36522642307112</v>
      </c>
      <c r="I88">
        <v>1.5142876764044499</v>
      </c>
      <c r="J88">
        <v>0.918064332823192</v>
      </c>
    </row>
    <row r="89" spans="1:10" hidden="1" x14ac:dyDescent="0.2">
      <c r="A89" t="s">
        <v>75</v>
      </c>
      <c r="B89" t="s">
        <v>26</v>
      </c>
      <c r="C89">
        <v>1</v>
      </c>
      <c r="D89" t="s">
        <v>201</v>
      </c>
      <c r="E89">
        <v>0.690394010027778</v>
      </c>
      <c r="F89">
        <v>0.524804318875016</v>
      </c>
      <c r="G89">
        <v>1.3155265404593599</v>
      </c>
      <c r="H89">
        <v>-0.38295133925466801</v>
      </c>
      <c r="I89">
        <v>1.76373935931022</v>
      </c>
      <c r="J89">
        <v>0.198639274990035</v>
      </c>
    </row>
    <row r="90" spans="1:10" hidden="1" x14ac:dyDescent="0.2">
      <c r="A90" t="s">
        <v>75</v>
      </c>
      <c r="B90" t="s">
        <v>26</v>
      </c>
      <c r="C90">
        <v>1</v>
      </c>
      <c r="D90" t="s">
        <v>123</v>
      </c>
      <c r="E90">
        <v>0.22993478382142901</v>
      </c>
      <c r="F90">
        <v>0.49512996875056797</v>
      </c>
      <c r="G90">
        <v>0.46439278236713499</v>
      </c>
      <c r="H90">
        <v>-0.78271970497547305</v>
      </c>
      <c r="I90">
        <v>1.2425892726183301</v>
      </c>
      <c r="J90">
        <v>0.64583398360552802</v>
      </c>
    </row>
    <row r="91" spans="1:10" hidden="1" x14ac:dyDescent="0.2">
      <c r="A91" t="s">
        <v>75</v>
      </c>
      <c r="B91" t="s">
        <v>26</v>
      </c>
      <c r="C91">
        <v>1</v>
      </c>
      <c r="D91" t="s">
        <v>116</v>
      </c>
      <c r="E91">
        <v>0.22255023425000001</v>
      </c>
      <c r="F91">
        <v>0.56373026805979798</v>
      </c>
      <c r="G91">
        <v>0.39478141738948203</v>
      </c>
      <c r="H91">
        <v>-0.93040762015331402</v>
      </c>
      <c r="I91">
        <v>1.37550808865331</v>
      </c>
      <c r="J91">
        <v>0.69589287063930505</v>
      </c>
    </row>
    <row r="92" spans="1:10" hidden="1" x14ac:dyDescent="0.2">
      <c r="A92" t="s">
        <v>75</v>
      </c>
      <c r="B92" t="s">
        <v>17</v>
      </c>
      <c r="C92">
        <v>0</v>
      </c>
      <c r="D92" t="s">
        <v>201</v>
      </c>
      <c r="E92">
        <v>0.35276433231226101</v>
      </c>
      <c r="F92">
        <v>0.39660624154125701</v>
      </c>
      <c r="G92">
        <v>0.88945733920217196</v>
      </c>
      <c r="H92">
        <v>-0.43824187457771002</v>
      </c>
      <c r="I92">
        <v>1.1437705392022299</v>
      </c>
      <c r="J92">
        <v>0.37680392379716798</v>
      </c>
    </row>
    <row r="93" spans="1:10" hidden="1" x14ac:dyDescent="0.2">
      <c r="A93" t="s">
        <v>75</v>
      </c>
      <c r="B93" t="s">
        <v>17</v>
      </c>
      <c r="C93">
        <v>0</v>
      </c>
      <c r="D93" t="s">
        <v>123</v>
      </c>
      <c r="E93">
        <v>-0.24892031259178701</v>
      </c>
      <c r="F93">
        <v>0.41594664428728401</v>
      </c>
      <c r="G93">
        <v>-0.59844289167978904</v>
      </c>
      <c r="H93">
        <v>-1.0784997364750399</v>
      </c>
      <c r="I93">
        <v>0.58065911129146097</v>
      </c>
      <c r="J93">
        <v>0.55147602902752602</v>
      </c>
    </row>
    <row r="94" spans="1:10" hidden="1" x14ac:dyDescent="0.2">
      <c r="A94" t="s">
        <v>75</v>
      </c>
      <c r="B94" t="s">
        <v>17</v>
      </c>
      <c r="C94">
        <v>0</v>
      </c>
      <c r="D94" t="s">
        <v>116</v>
      </c>
      <c r="E94">
        <v>-0.43970312847222098</v>
      </c>
      <c r="F94">
        <v>0.73061899546778197</v>
      </c>
      <c r="G94">
        <v>-0.60182274372800704</v>
      </c>
      <c r="H94">
        <v>-1.8968767675981499</v>
      </c>
      <c r="I94">
        <v>1.0174705106537101</v>
      </c>
      <c r="J94">
        <v>0.54923645655244901</v>
      </c>
    </row>
    <row r="95" spans="1:10" hidden="1" x14ac:dyDescent="0.2">
      <c r="A95" t="s">
        <v>75</v>
      </c>
      <c r="B95" t="s">
        <v>17</v>
      </c>
      <c r="C95">
        <v>1</v>
      </c>
      <c r="D95" t="s">
        <v>201</v>
      </c>
      <c r="E95">
        <v>0.57645472200000103</v>
      </c>
      <c r="F95">
        <v>0.41931388834010203</v>
      </c>
      <c r="G95">
        <v>1.37475704485238</v>
      </c>
      <c r="H95">
        <v>-0.28113847179109802</v>
      </c>
      <c r="I95">
        <v>1.4340479157910999</v>
      </c>
      <c r="J95">
        <v>0.17973688796013601</v>
      </c>
    </row>
    <row r="96" spans="1:10" hidden="1" x14ac:dyDescent="0.2">
      <c r="A96" t="s">
        <v>75</v>
      </c>
      <c r="B96" t="s">
        <v>17</v>
      </c>
      <c r="C96">
        <v>1</v>
      </c>
      <c r="D96" t="s">
        <v>123</v>
      </c>
      <c r="E96">
        <v>0.40090832521428599</v>
      </c>
      <c r="F96">
        <v>0.39560435187645199</v>
      </c>
      <c r="G96">
        <v>1.01340726741927</v>
      </c>
      <c r="H96">
        <v>-0.40819342180013102</v>
      </c>
      <c r="I96">
        <v>1.2100100722286999</v>
      </c>
      <c r="J96">
        <v>0.31924667450959399</v>
      </c>
    </row>
    <row r="97" spans="1:10" hidden="1" x14ac:dyDescent="0.2">
      <c r="A97" t="s">
        <v>75</v>
      </c>
      <c r="B97" t="s">
        <v>17</v>
      </c>
      <c r="C97">
        <v>1</v>
      </c>
      <c r="D97" t="s">
        <v>116</v>
      </c>
      <c r="E97">
        <v>0.3042815525</v>
      </c>
      <c r="F97">
        <v>0.45041536849748498</v>
      </c>
      <c r="G97">
        <v>0.67555766028818198</v>
      </c>
      <c r="H97">
        <v>-0.61692131042317999</v>
      </c>
      <c r="I97">
        <v>1.2254844154231801</v>
      </c>
      <c r="J97">
        <v>0.50467321901375395</v>
      </c>
    </row>
    <row r="98" spans="1:10" hidden="1" x14ac:dyDescent="0.2">
      <c r="A98" t="s">
        <v>75</v>
      </c>
      <c r="B98" t="s">
        <v>21</v>
      </c>
      <c r="C98">
        <v>0</v>
      </c>
      <c r="D98" t="s">
        <v>201</v>
      </c>
      <c r="E98">
        <v>0.23801623380842901</v>
      </c>
      <c r="F98">
        <v>0.36275449151068001</v>
      </c>
      <c r="G98">
        <v>0.65613586979231597</v>
      </c>
      <c r="H98">
        <v>-0.48547478652215698</v>
      </c>
      <c r="I98">
        <v>0.96150725413901506</v>
      </c>
      <c r="J98">
        <v>0.51388775424567101</v>
      </c>
    </row>
    <row r="99" spans="1:10" hidden="1" x14ac:dyDescent="0.2">
      <c r="A99" t="s">
        <v>75</v>
      </c>
      <c r="B99" t="s">
        <v>21</v>
      </c>
      <c r="C99">
        <v>0</v>
      </c>
      <c r="D99" t="s">
        <v>123</v>
      </c>
      <c r="E99">
        <v>-0.33087902464734298</v>
      </c>
      <c r="F99">
        <v>0.38044412225497298</v>
      </c>
      <c r="G99">
        <v>-0.8697177989928</v>
      </c>
      <c r="H99">
        <v>-1.0896509010278801</v>
      </c>
      <c r="I99">
        <v>0.42789285173319003</v>
      </c>
      <c r="J99">
        <v>0.387427193517001</v>
      </c>
    </row>
    <row r="100" spans="1:10" hidden="1" x14ac:dyDescent="0.2">
      <c r="A100" t="s">
        <v>75</v>
      </c>
      <c r="B100" t="s">
        <v>21</v>
      </c>
      <c r="C100">
        <v>0</v>
      </c>
      <c r="D100" t="s">
        <v>116</v>
      </c>
      <c r="E100">
        <v>-0.39341119602777902</v>
      </c>
      <c r="F100">
        <v>0.66825807168087303</v>
      </c>
      <c r="G100">
        <v>-0.58871147644835697</v>
      </c>
      <c r="H100">
        <v>-1.72620989442876</v>
      </c>
      <c r="I100">
        <v>0.93938750237320401</v>
      </c>
      <c r="J100">
        <v>0.55794979966795699</v>
      </c>
    </row>
    <row r="101" spans="1:10" hidden="1" x14ac:dyDescent="0.2">
      <c r="A101" t="s">
        <v>75</v>
      </c>
      <c r="B101" t="s">
        <v>21</v>
      </c>
      <c r="C101">
        <v>1</v>
      </c>
      <c r="D101" t="s">
        <v>201</v>
      </c>
      <c r="E101">
        <v>0.67451349522222304</v>
      </c>
      <c r="F101">
        <v>0.60736740533626798</v>
      </c>
      <c r="G101">
        <v>1.1105526725603201</v>
      </c>
      <c r="H101">
        <v>-0.56769232583674201</v>
      </c>
      <c r="I101">
        <v>1.91671931628119</v>
      </c>
      <c r="J101">
        <v>0.27588449597460801</v>
      </c>
    </row>
    <row r="102" spans="1:10" hidden="1" x14ac:dyDescent="0.2">
      <c r="A102" t="s">
        <v>75</v>
      </c>
      <c r="B102" t="s">
        <v>21</v>
      </c>
      <c r="C102">
        <v>1</v>
      </c>
      <c r="D102" t="s">
        <v>123</v>
      </c>
      <c r="E102">
        <v>0.55960048542857199</v>
      </c>
      <c r="F102">
        <v>0.57302463719983099</v>
      </c>
      <c r="G102">
        <v>0.97657316823783002</v>
      </c>
      <c r="H102">
        <v>-0.61236648824485995</v>
      </c>
      <c r="I102">
        <v>1.7315674591020001</v>
      </c>
      <c r="J102">
        <v>0.336857110199906</v>
      </c>
    </row>
    <row r="103" spans="1:10" hidden="1" x14ac:dyDescent="0.2">
      <c r="A103" t="s">
        <v>75</v>
      </c>
      <c r="B103" t="s">
        <v>21</v>
      </c>
      <c r="C103">
        <v>1</v>
      </c>
      <c r="D103" t="s">
        <v>116</v>
      </c>
      <c r="E103">
        <v>0.400947126166667</v>
      </c>
      <c r="F103">
        <v>0.65241724945205803</v>
      </c>
      <c r="G103">
        <v>0.61455629277645196</v>
      </c>
      <c r="H103">
        <v>-0.93339597145136999</v>
      </c>
      <c r="I103">
        <v>1.7352902237847001</v>
      </c>
      <c r="J103">
        <v>0.54363984184705905</v>
      </c>
    </row>
    <row r="104" spans="1:10" hidden="1" x14ac:dyDescent="0.2">
      <c r="A104" t="s">
        <v>75</v>
      </c>
      <c r="B104" t="s">
        <v>29</v>
      </c>
      <c r="C104">
        <v>0</v>
      </c>
      <c r="D104" t="s">
        <v>201</v>
      </c>
      <c r="E104">
        <v>0.27889246592528699</v>
      </c>
      <c r="F104">
        <v>0.37713900063197398</v>
      </c>
      <c r="G104">
        <v>0.73949516082385003</v>
      </c>
      <c r="H104">
        <v>-0.47328755323141802</v>
      </c>
      <c r="I104">
        <v>1.0310724850819899</v>
      </c>
      <c r="J104">
        <v>0.46207914232136199</v>
      </c>
    </row>
    <row r="105" spans="1:10" hidden="1" x14ac:dyDescent="0.2">
      <c r="A105" t="s">
        <v>75</v>
      </c>
      <c r="B105" t="s">
        <v>29</v>
      </c>
      <c r="C105">
        <v>0</v>
      </c>
      <c r="D105" t="s">
        <v>123</v>
      </c>
      <c r="E105">
        <v>-0.207981538094202</v>
      </c>
      <c r="F105">
        <v>0.39553008831408099</v>
      </c>
      <c r="G105">
        <v>-0.52582987802700099</v>
      </c>
      <c r="H105">
        <v>-0.996841425049941</v>
      </c>
      <c r="I105">
        <v>0.580878348861536</v>
      </c>
      <c r="J105">
        <v>0.60066833834793798</v>
      </c>
    </row>
    <row r="106" spans="1:10" hidden="1" x14ac:dyDescent="0.2">
      <c r="A106" t="s">
        <v>75</v>
      </c>
      <c r="B106" t="s">
        <v>29</v>
      </c>
      <c r="C106">
        <v>0</v>
      </c>
      <c r="D106" t="s">
        <v>116</v>
      </c>
      <c r="E106">
        <v>0.44080606616666601</v>
      </c>
      <c r="F106">
        <v>0.69475688713989103</v>
      </c>
      <c r="G106">
        <v>0.63447527376279</v>
      </c>
      <c r="H106">
        <v>-0.94484285320375905</v>
      </c>
      <c r="I106">
        <v>1.82645498553709</v>
      </c>
      <c r="J106">
        <v>0.52783891208134204</v>
      </c>
    </row>
    <row r="107" spans="1:10" hidden="1" x14ac:dyDescent="0.2">
      <c r="A107" t="s">
        <v>75</v>
      </c>
      <c r="B107" t="s">
        <v>29</v>
      </c>
      <c r="C107">
        <v>1</v>
      </c>
      <c r="D107" t="s">
        <v>201</v>
      </c>
      <c r="E107">
        <v>-0.360346325444445</v>
      </c>
      <c r="F107">
        <v>0.35148774542053701</v>
      </c>
      <c r="G107">
        <v>-1.02520309780163</v>
      </c>
      <c r="H107">
        <v>-1.0792194812249201</v>
      </c>
      <c r="I107">
        <v>0.358526830336031</v>
      </c>
      <c r="J107">
        <v>0.31374344973019902</v>
      </c>
    </row>
    <row r="108" spans="1:10" hidden="1" x14ac:dyDescent="0.2">
      <c r="A108" t="s">
        <v>75</v>
      </c>
      <c r="B108" t="s">
        <v>29</v>
      </c>
      <c r="C108">
        <v>1</v>
      </c>
      <c r="D108" t="s">
        <v>123</v>
      </c>
      <c r="E108">
        <v>-0.62597733621428597</v>
      </c>
      <c r="F108">
        <v>0.331613346436131</v>
      </c>
      <c r="G108">
        <v>-1.8876723236314299</v>
      </c>
      <c r="H108">
        <v>-1.3042027820722799</v>
      </c>
      <c r="I108">
        <v>5.22481096437101E-2</v>
      </c>
      <c r="J108">
        <v>6.91139373821721E-2</v>
      </c>
    </row>
    <row r="109" spans="1:10" hidden="1" x14ac:dyDescent="0.2">
      <c r="A109" t="s">
        <v>75</v>
      </c>
      <c r="B109" t="s">
        <v>29</v>
      </c>
      <c r="C109">
        <v>1</v>
      </c>
      <c r="D109" t="s">
        <v>116</v>
      </c>
      <c r="E109">
        <v>-0.77894304650000001</v>
      </c>
      <c r="F109">
        <v>0.37755840380734801</v>
      </c>
      <c r="G109">
        <v>-2.0631061013211101</v>
      </c>
      <c r="H109">
        <v>-1.5511366856030999</v>
      </c>
      <c r="I109">
        <v>-6.7494073969024404E-3</v>
      </c>
      <c r="J109">
        <v>4.81569069117323E-2</v>
      </c>
    </row>
    <row r="110" spans="1:10" hidden="1" x14ac:dyDescent="0.2">
      <c r="A110" t="s">
        <v>75</v>
      </c>
      <c r="B110" t="s">
        <v>18</v>
      </c>
      <c r="C110">
        <v>0</v>
      </c>
      <c r="D110" t="s">
        <v>201</v>
      </c>
      <c r="E110">
        <v>-4.5153819425286602E-2</v>
      </c>
      <c r="F110">
        <v>0.33566644313691602</v>
      </c>
      <c r="G110">
        <v>-0.134519909119627</v>
      </c>
      <c r="H110">
        <v>-0.71461943079378498</v>
      </c>
      <c r="I110">
        <v>0.62431179194321196</v>
      </c>
      <c r="J110">
        <v>0.89337750524927795</v>
      </c>
    </row>
    <row r="111" spans="1:10" hidden="1" x14ac:dyDescent="0.2">
      <c r="A111" t="s">
        <v>75</v>
      </c>
      <c r="B111" t="s">
        <v>18</v>
      </c>
      <c r="C111">
        <v>0</v>
      </c>
      <c r="D111" t="s">
        <v>123</v>
      </c>
      <c r="E111">
        <v>-0.245500717884057</v>
      </c>
      <c r="F111">
        <v>0.35203513207475501</v>
      </c>
      <c r="G111">
        <v>-0.69737561827188599</v>
      </c>
      <c r="H111">
        <v>-0.94761264994122096</v>
      </c>
      <c r="I111">
        <v>0.45661121417310602</v>
      </c>
      <c r="J111">
        <v>0.48787756521264503</v>
      </c>
    </row>
    <row r="112" spans="1:10" hidden="1" x14ac:dyDescent="0.2">
      <c r="A112" t="s">
        <v>75</v>
      </c>
      <c r="B112" t="s">
        <v>18</v>
      </c>
      <c r="C112">
        <v>0</v>
      </c>
      <c r="D112" t="s">
        <v>116</v>
      </c>
      <c r="E112">
        <v>-0.53102415916666601</v>
      </c>
      <c r="F112">
        <v>0.61835708521350996</v>
      </c>
      <c r="G112">
        <v>-0.85876619167921597</v>
      </c>
      <c r="H112">
        <v>-1.7642984782431499</v>
      </c>
      <c r="I112">
        <v>0.70225015990981599</v>
      </c>
      <c r="J112">
        <v>0.39340071633972001</v>
      </c>
    </row>
    <row r="113" spans="1:10" hidden="1" x14ac:dyDescent="0.2">
      <c r="A113" t="s">
        <v>75</v>
      </c>
      <c r="B113" t="s">
        <v>18</v>
      </c>
      <c r="C113">
        <v>1</v>
      </c>
      <c r="D113" t="s">
        <v>201</v>
      </c>
      <c r="E113">
        <v>-0.17897051111111201</v>
      </c>
      <c r="F113">
        <v>0.38231932431233301</v>
      </c>
      <c r="G113">
        <v>-0.468117878773253</v>
      </c>
      <c r="H113">
        <v>-0.96090132595484201</v>
      </c>
      <c r="I113">
        <v>0.602960303732617</v>
      </c>
      <c r="J113">
        <v>0.64319958183653103</v>
      </c>
    </row>
    <row r="114" spans="1:10" hidden="1" x14ac:dyDescent="0.2">
      <c r="A114" t="s">
        <v>75</v>
      </c>
      <c r="B114" t="s">
        <v>18</v>
      </c>
      <c r="C114">
        <v>1</v>
      </c>
      <c r="D114" t="s">
        <v>123</v>
      </c>
      <c r="E114">
        <v>-0.71486954242857204</v>
      </c>
      <c r="F114">
        <v>0.36070159541614899</v>
      </c>
      <c r="G114">
        <v>-1.98188627805711</v>
      </c>
      <c r="H114">
        <v>-1.45258713733824</v>
      </c>
      <c r="I114">
        <v>2.28480524810937E-2</v>
      </c>
      <c r="J114">
        <v>5.7040741787519403E-2</v>
      </c>
    </row>
    <row r="115" spans="1:10" hidden="1" x14ac:dyDescent="0.2">
      <c r="A115" t="s">
        <v>75</v>
      </c>
      <c r="B115" t="s">
        <v>18</v>
      </c>
      <c r="C115">
        <v>1</v>
      </c>
      <c r="D115" t="s">
        <v>116</v>
      </c>
      <c r="E115">
        <v>-1.0898149906666701</v>
      </c>
      <c r="F115">
        <v>0.41067683215915102</v>
      </c>
      <c r="G115">
        <v>-2.6537045806477999</v>
      </c>
      <c r="H115">
        <v>-1.9297434211357201</v>
      </c>
      <c r="I115">
        <v>-0.24988656019761499</v>
      </c>
      <c r="J115">
        <v>1.27849558983919E-2</v>
      </c>
    </row>
    <row r="116" spans="1:10" hidden="1" x14ac:dyDescent="0.2">
      <c r="A116" t="s">
        <v>75</v>
      </c>
      <c r="B116" t="s">
        <v>14</v>
      </c>
      <c r="C116">
        <v>0</v>
      </c>
      <c r="D116" t="s">
        <v>201</v>
      </c>
      <c r="E116">
        <v>-0.14718758628735601</v>
      </c>
      <c r="F116">
        <v>0.32914642264225702</v>
      </c>
      <c r="G116">
        <v>-0.44717966279503302</v>
      </c>
      <c r="H116">
        <v>-0.80364942681179596</v>
      </c>
      <c r="I116">
        <v>0.50927425423708395</v>
      </c>
      <c r="J116">
        <v>0.65612598896054097</v>
      </c>
    </row>
    <row r="117" spans="1:10" hidden="1" x14ac:dyDescent="0.2">
      <c r="A117" t="s">
        <v>75</v>
      </c>
      <c r="B117" t="s">
        <v>14</v>
      </c>
      <c r="C117">
        <v>0</v>
      </c>
      <c r="D117" t="s">
        <v>123</v>
      </c>
      <c r="E117">
        <v>-0.12734551075362299</v>
      </c>
      <c r="F117">
        <v>0.34519716443486398</v>
      </c>
      <c r="G117">
        <v>-0.36890659563239803</v>
      </c>
      <c r="H117">
        <v>-0.81581954638069598</v>
      </c>
      <c r="I117">
        <v>0.561128524873451</v>
      </c>
      <c r="J117">
        <v>0.71331082457294503</v>
      </c>
    </row>
    <row r="118" spans="1:10" hidden="1" x14ac:dyDescent="0.2">
      <c r="A118" t="s">
        <v>75</v>
      </c>
      <c r="B118" t="s">
        <v>14</v>
      </c>
      <c r="C118">
        <v>0</v>
      </c>
      <c r="D118" t="s">
        <v>116</v>
      </c>
      <c r="E118">
        <v>-0.61889437216666598</v>
      </c>
      <c r="F118">
        <v>0.60634605178719403</v>
      </c>
      <c r="G118">
        <v>-1.0206949815909401</v>
      </c>
      <c r="H118">
        <v>-1.8282134404269801</v>
      </c>
      <c r="I118">
        <v>0.59042469609364701</v>
      </c>
      <c r="J118">
        <v>0.31091367987371299</v>
      </c>
    </row>
    <row r="119" spans="1:10" hidden="1" x14ac:dyDescent="0.2">
      <c r="A119" t="s">
        <v>75</v>
      </c>
      <c r="B119" t="s">
        <v>14</v>
      </c>
      <c r="C119">
        <v>1</v>
      </c>
      <c r="D119" t="s">
        <v>201</v>
      </c>
      <c r="E119">
        <v>-2.1839987861111999E-2</v>
      </c>
      <c r="F119">
        <v>0.41827932417005598</v>
      </c>
      <c r="G119">
        <v>-5.2213883400635701E-2</v>
      </c>
      <c r="H119">
        <v>-0.87731726034494495</v>
      </c>
      <c r="I119">
        <v>0.83363728462272102</v>
      </c>
      <c r="J119">
        <v>0.95871628383771701</v>
      </c>
    </row>
    <row r="120" spans="1:10" hidden="1" x14ac:dyDescent="0.2">
      <c r="A120" t="s">
        <v>75</v>
      </c>
      <c r="B120" t="s">
        <v>14</v>
      </c>
      <c r="C120">
        <v>1</v>
      </c>
      <c r="D120" t="s">
        <v>123</v>
      </c>
      <c r="E120">
        <v>-0.48197199424999998</v>
      </c>
      <c r="F120">
        <v>0.39462828573758502</v>
      </c>
      <c r="G120">
        <v>-1.2213315965153499</v>
      </c>
      <c r="H120">
        <v>-1.28907746186452</v>
      </c>
      <c r="I120">
        <v>0.32513347336452397</v>
      </c>
      <c r="J120">
        <v>0.231796885287154</v>
      </c>
    </row>
    <row r="121" spans="1:10" hidden="1" x14ac:dyDescent="0.2">
      <c r="A121" t="s">
        <v>75</v>
      </c>
      <c r="B121" t="s">
        <v>14</v>
      </c>
      <c r="C121">
        <v>1</v>
      </c>
      <c r="D121" t="s">
        <v>116</v>
      </c>
      <c r="E121">
        <v>-0.98324618758333304</v>
      </c>
      <c r="F121">
        <v>0.44930406831200798</v>
      </c>
      <c r="G121">
        <v>-2.1883758837913398</v>
      </c>
      <c r="H121">
        <v>-1.9021761864258699</v>
      </c>
      <c r="I121">
        <v>-6.4316188740797406E-2</v>
      </c>
      <c r="J121">
        <v>3.6845086514177998E-2</v>
      </c>
    </row>
    <row r="122" spans="1:10" hidden="1" x14ac:dyDescent="0.2">
      <c r="A122" t="s">
        <v>15</v>
      </c>
      <c r="B122" t="s">
        <v>252</v>
      </c>
      <c r="C122">
        <v>0</v>
      </c>
      <c r="D122" t="s">
        <v>16</v>
      </c>
      <c r="E122">
        <v>0.20354190235428599</v>
      </c>
      <c r="F122">
        <v>0.75710552839313505</v>
      </c>
      <c r="G122">
        <v>0.26884218212787198</v>
      </c>
      <c r="H122">
        <v>-1.3057203846157099</v>
      </c>
      <c r="I122">
        <v>1.71280418932429</v>
      </c>
      <c r="J122">
        <v>0.78881999225435895</v>
      </c>
    </row>
    <row r="123" spans="1:10" hidden="1" x14ac:dyDescent="0.2">
      <c r="A123" t="s">
        <v>15</v>
      </c>
      <c r="B123" t="s">
        <v>252</v>
      </c>
      <c r="C123">
        <v>1</v>
      </c>
      <c r="D123" t="s">
        <v>16</v>
      </c>
      <c r="E123">
        <v>0.123564821074074</v>
      </c>
      <c r="F123">
        <v>0.35855868100209898</v>
      </c>
      <c r="G123">
        <v>0.34461533807725803</v>
      </c>
      <c r="H123">
        <v>-0.60772043015186805</v>
      </c>
      <c r="I123">
        <v>0.85485007230001597</v>
      </c>
      <c r="J123">
        <v>0.73271064300050004</v>
      </c>
    </row>
    <row r="124" spans="1:10" hidden="1" x14ac:dyDescent="0.2">
      <c r="A124" t="s">
        <v>15</v>
      </c>
      <c r="B124" t="s">
        <v>253</v>
      </c>
      <c r="C124">
        <v>0</v>
      </c>
      <c r="D124" t="s">
        <v>16</v>
      </c>
      <c r="E124">
        <v>0.22850412303571399</v>
      </c>
      <c r="F124">
        <v>0.64083620513234196</v>
      </c>
      <c r="G124">
        <v>0.356571806033533</v>
      </c>
      <c r="H124">
        <v>-1.04897950409346</v>
      </c>
      <c r="I124">
        <v>1.5059877501648899</v>
      </c>
      <c r="J124">
        <v>0.72245522758750802</v>
      </c>
    </row>
    <row r="125" spans="1:10" hidden="1" x14ac:dyDescent="0.2">
      <c r="A125" t="s">
        <v>15</v>
      </c>
      <c r="B125" t="s">
        <v>253</v>
      </c>
      <c r="C125">
        <v>1</v>
      </c>
      <c r="D125" t="s">
        <v>16</v>
      </c>
      <c r="E125">
        <v>-0.15850632651851801</v>
      </c>
      <c r="F125">
        <v>0.451927639352524</v>
      </c>
      <c r="G125">
        <v>-0.35073386249535199</v>
      </c>
      <c r="H125">
        <v>-1.0802188237761801</v>
      </c>
      <c r="I125">
        <v>0.76320617073914199</v>
      </c>
      <c r="J125">
        <v>0.72816032117190199</v>
      </c>
    </row>
    <row r="126" spans="1:10" hidden="1" x14ac:dyDescent="0.2">
      <c r="A126" t="s">
        <v>15</v>
      </c>
      <c r="B126" t="s">
        <v>254</v>
      </c>
      <c r="C126">
        <v>0</v>
      </c>
      <c r="D126" t="s">
        <v>16</v>
      </c>
      <c r="E126">
        <v>-1.07982373091429</v>
      </c>
      <c r="F126">
        <v>0.56493204914885997</v>
      </c>
      <c r="G126">
        <v>-1.9114223251118001</v>
      </c>
      <c r="H126">
        <v>-2.20599518853217</v>
      </c>
      <c r="I126">
        <v>4.6347726703600503E-2</v>
      </c>
      <c r="J126">
        <v>5.9930771952987197E-2</v>
      </c>
    </row>
    <row r="127" spans="1:10" hidden="1" x14ac:dyDescent="0.2">
      <c r="A127" t="s">
        <v>15</v>
      </c>
      <c r="B127" t="s">
        <v>254</v>
      </c>
      <c r="C127">
        <v>1</v>
      </c>
      <c r="D127" t="s">
        <v>16</v>
      </c>
      <c r="E127">
        <v>-0.153531023648147</v>
      </c>
      <c r="F127">
        <v>0.42871153136108497</v>
      </c>
      <c r="G127">
        <v>-0.358121982771755</v>
      </c>
      <c r="H127">
        <v>-1.0278939564842799</v>
      </c>
      <c r="I127">
        <v>0.72083190918798201</v>
      </c>
      <c r="J127">
        <v>0.72267918630422501</v>
      </c>
    </row>
    <row r="128" spans="1:10" hidden="1" x14ac:dyDescent="0.2">
      <c r="A128" t="s">
        <v>15</v>
      </c>
      <c r="B128" t="s">
        <v>255</v>
      </c>
      <c r="C128">
        <v>0</v>
      </c>
      <c r="D128" t="s">
        <v>16</v>
      </c>
      <c r="E128">
        <v>0.62856581389999999</v>
      </c>
      <c r="F128">
        <v>0.378238471725869</v>
      </c>
      <c r="G128">
        <v>1.66182411596554</v>
      </c>
      <c r="H128">
        <v>-0.12543879899538601</v>
      </c>
      <c r="I128">
        <v>1.38257042679539</v>
      </c>
      <c r="J128">
        <v>0.10089635226857301</v>
      </c>
    </row>
    <row r="129" spans="1:11" hidden="1" x14ac:dyDescent="0.2">
      <c r="A129" t="s">
        <v>15</v>
      </c>
      <c r="B129" t="s">
        <v>255</v>
      </c>
      <c r="C129">
        <v>1</v>
      </c>
      <c r="D129" t="s">
        <v>16</v>
      </c>
      <c r="E129">
        <v>3.5524897092594598E-2</v>
      </c>
      <c r="F129">
        <v>0.68465942335711305</v>
      </c>
      <c r="G129">
        <v>5.1886961430259997E-2</v>
      </c>
      <c r="H129">
        <v>-1.36084720304625</v>
      </c>
      <c r="I129">
        <v>1.4318969972314399</v>
      </c>
      <c r="J129">
        <v>0.95895167727333297</v>
      </c>
    </row>
    <row r="130" spans="1:11" hidden="1" x14ac:dyDescent="0.2">
      <c r="A130" t="s">
        <v>15</v>
      </c>
      <c r="B130" t="s">
        <v>26</v>
      </c>
      <c r="C130">
        <v>0</v>
      </c>
      <c r="D130" t="s">
        <v>16</v>
      </c>
      <c r="E130">
        <v>0.167067743728571</v>
      </c>
      <c r="F130">
        <v>0.68059269502361797</v>
      </c>
      <c r="G130">
        <v>0.24547390083693699</v>
      </c>
      <c r="H130">
        <v>-1.1896689975372301</v>
      </c>
      <c r="I130">
        <v>1.5238044849943699</v>
      </c>
      <c r="J130">
        <v>0.80678787184689804</v>
      </c>
    </row>
    <row r="131" spans="1:11" hidden="1" x14ac:dyDescent="0.2">
      <c r="A131" t="s">
        <v>15</v>
      </c>
      <c r="B131" t="s">
        <v>26</v>
      </c>
      <c r="C131">
        <v>1</v>
      </c>
      <c r="D131" t="s">
        <v>16</v>
      </c>
      <c r="E131">
        <v>0.12680654588888901</v>
      </c>
      <c r="F131">
        <v>0.39590363793830102</v>
      </c>
      <c r="G131">
        <v>0.32029649070476901</v>
      </c>
      <c r="H131">
        <v>-0.680644247163531</v>
      </c>
      <c r="I131">
        <v>0.93425733894131002</v>
      </c>
      <c r="J131">
        <v>0.75089260856849604</v>
      </c>
    </row>
    <row r="132" spans="1:11" hidden="1" x14ac:dyDescent="0.2">
      <c r="A132" t="s">
        <v>15</v>
      </c>
      <c r="B132" t="s">
        <v>17</v>
      </c>
      <c r="C132">
        <v>0</v>
      </c>
      <c r="D132" t="s">
        <v>16</v>
      </c>
      <c r="E132">
        <v>0.50406024915000003</v>
      </c>
      <c r="F132">
        <v>0.68285744998848696</v>
      </c>
      <c r="G132">
        <v>0.73816321277376196</v>
      </c>
      <c r="H132">
        <v>-0.85719119862568005</v>
      </c>
      <c r="I132">
        <v>1.86531169692568</v>
      </c>
      <c r="J132">
        <v>0.46281452834757097</v>
      </c>
    </row>
    <row r="133" spans="1:11" hidden="1" x14ac:dyDescent="0.2">
      <c r="A133" t="s">
        <v>15</v>
      </c>
      <c r="B133" t="s">
        <v>17</v>
      </c>
      <c r="C133">
        <v>1</v>
      </c>
      <c r="D133" t="s">
        <v>16</v>
      </c>
      <c r="E133">
        <v>9.5748412351852899E-2</v>
      </c>
      <c r="F133">
        <v>0.31437384906114701</v>
      </c>
      <c r="G133">
        <v>0.30456862947664998</v>
      </c>
      <c r="H133">
        <v>-0.54542128000375201</v>
      </c>
      <c r="I133">
        <v>0.736918104707458</v>
      </c>
      <c r="J133">
        <v>0.76273004959294599</v>
      </c>
    </row>
    <row r="134" spans="1:11" hidden="1" x14ac:dyDescent="0.2">
      <c r="A134" t="s">
        <v>15</v>
      </c>
      <c r="B134" t="s">
        <v>21</v>
      </c>
      <c r="C134">
        <v>0</v>
      </c>
      <c r="D134" t="s">
        <v>16</v>
      </c>
      <c r="E134">
        <v>0.38330052765</v>
      </c>
      <c r="F134">
        <v>0.62511671721621898</v>
      </c>
      <c r="G134">
        <v>0.61316633693131894</v>
      </c>
      <c r="H134">
        <v>-0.86284687303180496</v>
      </c>
      <c r="I134">
        <v>1.6294479283318</v>
      </c>
      <c r="J134">
        <v>0.54169851045568695</v>
      </c>
    </row>
    <row r="135" spans="1:11" hidden="1" x14ac:dyDescent="0.2">
      <c r="A135" t="s">
        <v>15</v>
      </c>
      <c r="B135" t="s">
        <v>21</v>
      </c>
      <c r="C135">
        <v>1</v>
      </c>
      <c r="D135" t="s">
        <v>16</v>
      </c>
      <c r="E135">
        <v>0.114053920240743</v>
      </c>
      <c r="F135">
        <v>0.45091938589804897</v>
      </c>
      <c r="G135">
        <v>0.252936386874548</v>
      </c>
      <c r="H135">
        <v>-0.80560223053913804</v>
      </c>
      <c r="I135">
        <v>1.03371007102062</v>
      </c>
      <c r="J135">
        <v>0.80198716213735499</v>
      </c>
    </row>
    <row r="136" spans="1:11" hidden="1" x14ac:dyDescent="0.2">
      <c r="A136" t="s">
        <v>15</v>
      </c>
      <c r="B136" t="s">
        <v>29</v>
      </c>
      <c r="C136">
        <v>0</v>
      </c>
      <c r="D136" t="s">
        <v>16</v>
      </c>
      <c r="E136">
        <v>-0.39360169280000001</v>
      </c>
      <c r="F136">
        <v>0.64595280231577201</v>
      </c>
      <c r="G136">
        <v>-0.60933506502165302</v>
      </c>
      <c r="H136">
        <v>-1.68128506999963</v>
      </c>
      <c r="I136">
        <v>0.89408168439962998</v>
      </c>
      <c r="J136">
        <v>0.54422041504481</v>
      </c>
    </row>
    <row r="137" spans="1:11" hidden="1" x14ac:dyDescent="0.2">
      <c r="A137" t="s">
        <v>15</v>
      </c>
      <c r="B137" t="s">
        <v>29</v>
      </c>
      <c r="C137">
        <v>1</v>
      </c>
      <c r="D137" t="s">
        <v>16</v>
      </c>
      <c r="E137">
        <v>0.33424676368518502</v>
      </c>
      <c r="F137">
        <v>0.27172950225034298</v>
      </c>
      <c r="G137">
        <v>1.2300716739150599</v>
      </c>
      <c r="H137">
        <v>-0.21994920993699199</v>
      </c>
      <c r="I137">
        <v>0.88844273730736201</v>
      </c>
      <c r="J137">
        <v>0.22792368115481401</v>
      </c>
    </row>
    <row r="138" spans="1:11" hidden="1" x14ac:dyDescent="0.2">
      <c r="A138" t="s">
        <v>15</v>
      </c>
      <c r="B138" t="s">
        <v>18</v>
      </c>
      <c r="C138">
        <v>0</v>
      </c>
      <c r="D138" t="s">
        <v>16</v>
      </c>
      <c r="E138">
        <v>0.43165305524285802</v>
      </c>
      <c r="F138">
        <v>0.56947584702556997</v>
      </c>
      <c r="G138">
        <v>0.75798307776778395</v>
      </c>
      <c r="H138">
        <v>-0.70357629789652698</v>
      </c>
      <c r="I138">
        <v>1.5668824083822399</v>
      </c>
      <c r="J138">
        <v>0.45093498111600899</v>
      </c>
    </row>
    <row r="139" spans="1:11" hidden="1" x14ac:dyDescent="0.2">
      <c r="A139" t="s">
        <v>15</v>
      </c>
      <c r="B139" t="s">
        <v>18</v>
      </c>
      <c r="C139">
        <v>1</v>
      </c>
      <c r="D139" t="s">
        <v>16</v>
      </c>
      <c r="E139">
        <v>0.65948505755555398</v>
      </c>
      <c r="F139">
        <v>0.30526439750171203</v>
      </c>
      <c r="G139">
        <v>2.16037331229187</v>
      </c>
      <c r="H139">
        <v>3.68942141447147E-2</v>
      </c>
      <c r="I139">
        <v>1.28207590096639</v>
      </c>
      <c r="J139">
        <v>3.8589331224057798E-2</v>
      </c>
    </row>
    <row r="140" spans="1:11" hidden="1" x14ac:dyDescent="0.2">
      <c r="A140" t="s">
        <v>15</v>
      </c>
      <c r="B140" t="s">
        <v>14</v>
      </c>
      <c r="C140">
        <v>0</v>
      </c>
      <c r="D140" t="s">
        <v>16</v>
      </c>
      <c r="E140">
        <v>0.51607456145714303</v>
      </c>
      <c r="F140">
        <v>0.55688751881619003</v>
      </c>
      <c r="G140">
        <v>0.92671238628977504</v>
      </c>
      <c r="H140">
        <v>-0.59406041803165899</v>
      </c>
      <c r="I140">
        <v>1.6262095409459401</v>
      </c>
      <c r="J140">
        <v>0.35717191214060101</v>
      </c>
    </row>
    <row r="141" spans="1:11" hidden="1" x14ac:dyDescent="0.2">
      <c r="A141" t="s">
        <v>15</v>
      </c>
      <c r="B141" t="s">
        <v>14</v>
      </c>
      <c r="C141">
        <v>1</v>
      </c>
      <c r="D141" t="s">
        <v>16</v>
      </c>
      <c r="E141">
        <v>0.72605478720370298</v>
      </c>
      <c r="F141">
        <v>0.31935757587826202</v>
      </c>
      <c r="G141">
        <v>2.2734854033350702</v>
      </c>
      <c r="H141">
        <v>7.4720716991425601E-2</v>
      </c>
      <c r="I141">
        <v>1.3773888574159801</v>
      </c>
      <c r="J141">
        <v>3.0075663418529301E-2</v>
      </c>
    </row>
    <row r="142" spans="1:11" x14ac:dyDescent="0.2">
      <c r="A142" s="84" t="s">
        <v>225</v>
      </c>
      <c r="B142" s="138" t="s">
        <v>252</v>
      </c>
      <c r="C142" s="42" t="s">
        <v>66</v>
      </c>
      <c r="D142" s="42" t="s">
        <v>257</v>
      </c>
      <c r="E142" s="42">
        <v>-0.33793670288014199</v>
      </c>
      <c r="F142" s="42">
        <v>0.25085999418350802</v>
      </c>
      <c r="G142" s="42">
        <v>-1.34711277491674</v>
      </c>
      <c r="H142" s="42">
        <v>-0.83534573093133802</v>
      </c>
      <c r="I142" s="42">
        <v>0.159472325171054</v>
      </c>
      <c r="J142" s="42">
        <v>0.18084400984280799</v>
      </c>
      <c r="K142" s="42"/>
    </row>
    <row r="143" spans="1:11" x14ac:dyDescent="0.2">
      <c r="A143" s="86" t="s">
        <v>225</v>
      </c>
      <c r="B143" s="145" t="s">
        <v>252</v>
      </c>
      <c r="C143" s="159" t="s">
        <v>64</v>
      </c>
      <c r="D143" s="77" t="s">
        <v>257</v>
      </c>
      <c r="E143" s="77">
        <v>-0.38441093230094597</v>
      </c>
      <c r="F143" s="77">
        <v>0.35291769938977202</v>
      </c>
      <c r="G143" s="77">
        <v>-1.08923676246793</v>
      </c>
      <c r="H143" s="77">
        <v>-1.08793950806458</v>
      </c>
      <c r="I143" s="77">
        <v>0.31911764346269</v>
      </c>
      <c r="J143" s="77">
        <v>0.27968183119784301</v>
      </c>
      <c r="K143" s="77"/>
    </row>
    <row r="144" spans="1:11" x14ac:dyDescent="0.2">
      <c r="A144" s="86" t="s">
        <v>225</v>
      </c>
      <c r="B144" s="145" t="s">
        <v>252</v>
      </c>
      <c r="C144" s="159" t="s">
        <v>65</v>
      </c>
      <c r="D144" s="77" t="s">
        <v>257</v>
      </c>
      <c r="E144" s="77">
        <v>-0.1335340991</v>
      </c>
      <c r="F144" s="77">
        <v>0.28255466988720002</v>
      </c>
      <c r="G144" s="77">
        <v>-0.47259561894096103</v>
      </c>
      <c r="H144" s="77">
        <v>-0.70980814767704203</v>
      </c>
      <c r="I144" s="77">
        <v>0.44273994947704198</v>
      </c>
      <c r="J144" s="77">
        <v>0.63981210546161804</v>
      </c>
      <c r="K144" s="77"/>
    </row>
    <row r="145" spans="1:11" x14ac:dyDescent="0.2">
      <c r="A145" s="84" t="s">
        <v>225</v>
      </c>
      <c r="B145" s="139" t="s">
        <v>253</v>
      </c>
      <c r="C145" s="42" t="s">
        <v>66</v>
      </c>
      <c r="D145" s="42" t="s">
        <v>257</v>
      </c>
      <c r="E145" s="42">
        <v>-6.0211655975177102E-2</v>
      </c>
      <c r="F145" s="42">
        <v>0.22762961344246599</v>
      </c>
      <c r="G145" s="42">
        <v>-0.26451591717171602</v>
      </c>
      <c r="H145" s="42">
        <v>-0.51155913027696198</v>
      </c>
      <c r="I145" s="42">
        <v>0.39113581832660799</v>
      </c>
      <c r="J145" s="42">
        <v>0.79190092559328396</v>
      </c>
      <c r="K145" s="42"/>
    </row>
    <row r="146" spans="1:11" x14ac:dyDescent="0.2">
      <c r="A146" s="86" t="s">
        <v>225</v>
      </c>
      <c r="B146" s="146" t="s">
        <v>253</v>
      </c>
      <c r="C146" s="159" t="s">
        <v>64</v>
      </c>
      <c r="D146" s="77" t="s">
        <v>257</v>
      </c>
      <c r="E146" s="77">
        <v>-0.18136185917888101</v>
      </c>
      <c r="F146" s="77">
        <v>0.30052649228872202</v>
      </c>
      <c r="G146" s="77">
        <v>-0.60348043793970496</v>
      </c>
      <c r="H146" s="77">
        <v>-0.78045047237313803</v>
      </c>
      <c r="I146" s="77">
        <v>0.41772675401537501</v>
      </c>
      <c r="J146" s="77">
        <v>0.54808565407239895</v>
      </c>
      <c r="K146" s="77"/>
    </row>
    <row r="147" spans="1:11" x14ac:dyDescent="0.2">
      <c r="A147" s="86" t="s">
        <v>225</v>
      </c>
      <c r="B147" s="146" t="s">
        <v>253</v>
      </c>
      <c r="C147" s="159" t="s">
        <v>65</v>
      </c>
      <c r="D147" s="77" t="s">
        <v>257</v>
      </c>
      <c r="E147" s="77">
        <v>0.127778197438462</v>
      </c>
      <c r="F147" s="77">
        <v>0.356699657642912</v>
      </c>
      <c r="G147" s="77">
        <v>0.35822349335243597</v>
      </c>
      <c r="H147" s="77">
        <v>-0.59971555064925197</v>
      </c>
      <c r="I147" s="77">
        <v>0.85527194552617503</v>
      </c>
      <c r="J147" s="77">
        <v>0.72260398021657501</v>
      </c>
      <c r="K147" s="77"/>
    </row>
    <row r="148" spans="1:11" x14ac:dyDescent="0.2">
      <c r="A148" s="84" t="s">
        <v>225</v>
      </c>
      <c r="B148" s="140" t="s">
        <v>254</v>
      </c>
      <c r="C148" s="42" t="s">
        <v>66</v>
      </c>
      <c r="D148" s="42" t="s">
        <v>257</v>
      </c>
      <c r="E148" s="42">
        <v>-8.1595086195390104E-2</v>
      </c>
      <c r="F148" s="42">
        <v>0.207624865574673</v>
      </c>
      <c r="G148" s="42">
        <v>-0.39299284297932102</v>
      </c>
      <c r="H148" s="42">
        <v>-0.49327684087649598</v>
      </c>
      <c r="I148" s="42">
        <v>0.330086668485715</v>
      </c>
      <c r="J148" s="42">
        <v>0.69512151161077695</v>
      </c>
      <c r="K148" s="42"/>
    </row>
    <row r="149" spans="1:11" x14ac:dyDescent="0.2">
      <c r="A149" s="86" t="s">
        <v>225</v>
      </c>
      <c r="B149" s="147" t="s">
        <v>254</v>
      </c>
      <c r="C149" s="159" t="s">
        <v>64</v>
      </c>
      <c r="D149" s="77" t="s">
        <v>257</v>
      </c>
      <c r="E149" s="77">
        <v>3.4874587602048701E-2</v>
      </c>
      <c r="F149" s="77">
        <v>0.27198390436053599</v>
      </c>
      <c r="G149" s="77">
        <v>0.12822298320940201</v>
      </c>
      <c r="H149" s="77">
        <v>-0.50731541645912803</v>
      </c>
      <c r="I149" s="77">
        <v>0.57706459166322499</v>
      </c>
      <c r="J149" s="77">
        <v>0.89832999028858296</v>
      </c>
      <c r="K149" s="77"/>
    </row>
    <row r="150" spans="1:11" x14ac:dyDescent="0.2">
      <c r="A150" s="86" t="s">
        <v>225</v>
      </c>
      <c r="B150" s="147" t="s">
        <v>254</v>
      </c>
      <c r="C150" s="159" t="s">
        <v>65</v>
      </c>
      <c r="D150" s="77" t="s">
        <v>257</v>
      </c>
      <c r="E150" s="77">
        <v>-0.37149490097307702</v>
      </c>
      <c r="F150" s="77">
        <v>0.33247469948254299</v>
      </c>
      <c r="G150" s="77">
        <v>-1.1173629197988999</v>
      </c>
      <c r="H150" s="77">
        <v>-1.04958152115433</v>
      </c>
      <c r="I150" s="77">
        <v>0.30659171920817402</v>
      </c>
      <c r="J150" s="77">
        <v>0.27242442520424398</v>
      </c>
      <c r="K150" s="77"/>
    </row>
    <row r="151" spans="1:11" x14ac:dyDescent="0.2">
      <c r="A151" s="84" t="s">
        <v>225</v>
      </c>
      <c r="B151" s="141" t="s">
        <v>255</v>
      </c>
      <c r="C151" s="42" t="s">
        <v>66</v>
      </c>
      <c r="D151" s="42" t="s">
        <v>257</v>
      </c>
      <c r="E151" s="42">
        <v>-6.0406191350000402E-2</v>
      </c>
      <c r="F151" s="42">
        <v>0.203766538751327</v>
      </c>
      <c r="G151" s="42">
        <v>-0.29644804156839</v>
      </c>
      <c r="H151" s="42">
        <v>-0.46443759667448198</v>
      </c>
      <c r="I151" s="42">
        <v>0.34362521397448098</v>
      </c>
      <c r="J151" s="42">
        <v>0.76747351089973204</v>
      </c>
      <c r="K151" s="42"/>
    </row>
    <row r="152" spans="1:11" x14ac:dyDescent="0.2">
      <c r="A152" s="86" t="s">
        <v>225</v>
      </c>
      <c r="B152" s="148" t="s">
        <v>255</v>
      </c>
      <c r="C152" s="160" t="s">
        <v>64</v>
      </c>
      <c r="D152" s="149" t="s">
        <v>257</v>
      </c>
      <c r="E152" s="149">
        <v>-0.39527662372655697</v>
      </c>
      <c r="F152" s="149">
        <v>0.174949508627402</v>
      </c>
      <c r="G152" s="149">
        <v>-2.2593754439653599</v>
      </c>
      <c r="H152" s="149">
        <v>-0.74403209518067903</v>
      </c>
      <c r="I152" s="149">
        <v>-4.6521152272434599E-2</v>
      </c>
      <c r="J152" s="149">
        <v>2.6887779234891301E-2</v>
      </c>
      <c r="K152" s="149" t="s">
        <v>61</v>
      </c>
    </row>
    <row r="153" spans="1:11" x14ac:dyDescent="0.2">
      <c r="A153" s="86" t="s">
        <v>225</v>
      </c>
      <c r="B153" s="148" t="s">
        <v>255</v>
      </c>
      <c r="C153" s="159" t="s">
        <v>65</v>
      </c>
      <c r="D153" s="77" t="s">
        <v>257</v>
      </c>
      <c r="E153" s="77">
        <v>0.39734958887307698</v>
      </c>
      <c r="F153" s="77">
        <v>0.53572835136007102</v>
      </c>
      <c r="G153" s="77">
        <v>0.74169975858905501</v>
      </c>
      <c r="H153" s="77">
        <v>-0.69527558734156703</v>
      </c>
      <c r="I153" s="77">
        <v>1.48997476508772</v>
      </c>
      <c r="J153" s="77">
        <v>0.46385178279634598</v>
      </c>
      <c r="K153" s="77"/>
    </row>
    <row r="154" spans="1:11" hidden="1" x14ac:dyDescent="0.2">
      <c r="A154" s="84" t="s">
        <v>225</v>
      </c>
      <c r="B154" s="129" t="s">
        <v>26</v>
      </c>
      <c r="C154" s="42" t="s">
        <v>66</v>
      </c>
      <c r="D154" s="42" t="s">
        <v>257</v>
      </c>
      <c r="E154" s="42">
        <v>-0.34359518924716298</v>
      </c>
      <c r="F154" s="42">
        <v>0.23061324860191301</v>
      </c>
      <c r="G154" s="42">
        <v>-1.48991955722492</v>
      </c>
      <c r="H154" s="42">
        <v>-0.80085866091453095</v>
      </c>
      <c r="I154" s="42">
        <v>0.11366828242020501</v>
      </c>
      <c r="J154" s="42">
        <v>0.139243185848687</v>
      </c>
      <c r="K154" s="42"/>
    </row>
    <row r="155" spans="1:11" hidden="1" x14ac:dyDescent="0.2">
      <c r="A155" s="86" t="s">
        <v>225</v>
      </c>
      <c r="B155" s="150" t="s">
        <v>26</v>
      </c>
      <c r="C155" s="159" t="s">
        <v>64</v>
      </c>
      <c r="D155" s="77" t="s">
        <v>257</v>
      </c>
      <c r="E155" s="77">
        <v>-0.39764656157052802</v>
      </c>
      <c r="F155" s="77">
        <v>0.31637653465195398</v>
      </c>
      <c r="G155" s="77">
        <v>-1.2568775431085</v>
      </c>
      <c r="H155" s="77">
        <v>-1.02833165674594</v>
      </c>
      <c r="I155" s="77">
        <v>0.233038533604878</v>
      </c>
      <c r="J155" s="77">
        <v>0.21286019753834501</v>
      </c>
      <c r="K155" s="77"/>
    </row>
    <row r="156" spans="1:11" hidden="1" x14ac:dyDescent="0.2">
      <c r="A156" s="86" t="s">
        <v>225</v>
      </c>
      <c r="B156" s="150" t="s">
        <v>26</v>
      </c>
      <c r="C156" s="159" t="s">
        <v>65</v>
      </c>
      <c r="D156" s="77" t="s">
        <v>257</v>
      </c>
      <c r="E156" s="77">
        <v>-0.25024566491538403</v>
      </c>
      <c r="F156" s="77">
        <v>0.309780542975574</v>
      </c>
      <c r="G156" s="77">
        <v>-0.80781595419669605</v>
      </c>
      <c r="H156" s="77">
        <v>-0.88204724774604903</v>
      </c>
      <c r="I156" s="77">
        <v>0.38155591791527999</v>
      </c>
      <c r="J156" s="77">
        <v>0.42535214538810001</v>
      </c>
      <c r="K156" s="77"/>
    </row>
    <row r="157" spans="1:11" hidden="1" x14ac:dyDescent="0.2">
      <c r="A157" s="84" t="s">
        <v>225</v>
      </c>
      <c r="B157" s="128" t="s">
        <v>17</v>
      </c>
      <c r="C157" s="42" t="s">
        <v>66</v>
      </c>
      <c r="D157" s="42" t="s">
        <v>257</v>
      </c>
      <c r="E157" s="42">
        <v>-0.325663255307447</v>
      </c>
      <c r="F157" s="42">
        <v>0.225161738739656</v>
      </c>
      <c r="G157" s="42">
        <v>-1.44635255141637</v>
      </c>
      <c r="H157" s="42">
        <v>-0.77211738995468704</v>
      </c>
      <c r="I157" s="42">
        <v>0.120790879339793</v>
      </c>
      <c r="J157" s="42">
        <v>0.15105689072025</v>
      </c>
      <c r="K157" s="42"/>
    </row>
    <row r="158" spans="1:11" hidden="1" x14ac:dyDescent="0.2">
      <c r="A158" s="86" t="s">
        <v>225</v>
      </c>
      <c r="B158" s="151" t="s">
        <v>17</v>
      </c>
      <c r="C158" s="159" t="s">
        <v>64</v>
      </c>
      <c r="D158" s="77" t="s">
        <v>257</v>
      </c>
      <c r="E158" s="77">
        <v>-0.49484753212372001</v>
      </c>
      <c r="F158" s="77">
        <v>0.31664436115451899</v>
      </c>
      <c r="G158" s="77">
        <v>-1.5627864975060799</v>
      </c>
      <c r="H158" s="77">
        <v>-1.1260665296741801</v>
      </c>
      <c r="I158" s="77">
        <v>0.136371465426738</v>
      </c>
      <c r="J158" s="77">
        <v>0.122487786039186</v>
      </c>
      <c r="K158" s="77"/>
    </row>
    <row r="159" spans="1:11" hidden="1" x14ac:dyDescent="0.2">
      <c r="A159" s="86" t="s">
        <v>225</v>
      </c>
      <c r="B159" s="151" t="s">
        <v>17</v>
      </c>
      <c r="C159" s="159" t="s">
        <v>65</v>
      </c>
      <c r="D159" s="77" t="s">
        <v>257</v>
      </c>
      <c r="E159" s="77">
        <v>-2.7163744907692099E-2</v>
      </c>
      <c r="F159" s="77">
        <v>0.24847480062632099</v>
      </c>
      <c r="G159" s="77">
        <v>-0.109321930591036</v>
      </c>
      <c r="H159" s="77">
        <v>-0.53393144187574004</v>
      </c>
      <c r="I159" s="77">
        <v>0.479603952060356</v>
      </c>
      <c r="J159" s="77">
        <v>0.91365176695523398</v>
      </c>
      <c r="K159" s="77"/>
    </row>
    <row r="160" spans="1:11" hidden="1" x14ac:dyDescent="0.2">
      <c r="A160" s="84" t="s">
        <v>225</v>
      </c>
      <c r="B160" s="124" t="s">
        <v>21</v>
      </c>
      <c r="C160" s="42" t="s">
        <v>66</v>
      </c>
      <c r="D160" s="42" t="s">
        <v>257</v>
      </c>
      <c r="E160" s="42">
        <v>-0.2679232728</v>
      </c>
      <c r="F160" s="42">
        <v>0.22232978774404599</v>
      </c>
      <c r="G160" s="42">
        <v>-1.2050714189879199</v>
      </c>
      <c r="H160" s="42">
        <v>-0.70876217175850598</v>
      </c>
      <c r="I160" s="42">
        <v>0.172915626158505</v>
      </c>
      <c r="J160" s="42">
        <v>0.230884694372921</v>
      </c>
      <c r="K160" s="42"/>
    </row>
    <row r="161" spans="1:11" hidden="1" x14ac:dyDescent="0.2">
      <c r="A161" s="86" t="s">
        <v>225</v>
      </c>
      <c r="B161" s="152" t="s">
        <v>21</v>
      </c>
      <c r="C161" s="161" t="s">
        <v>64</v>
      </c>
      <c r="D161" s="153" t="s">
        <v>257</v>
      </c>
      <c r="E161" s="153">
        <v>-0.48700413047202601</v>
      </c>
      <c r="F161" s="153">
        <v>0.28875296827956798</v>
      </c>
      <c r="G161" s="153">
        <v>-1.68657705364439</v>
      </c>
      <c r="H161" s="153">
        <v>-1.06262265250282</v>
      </c>
      <c r="I161" s="153">
        <v>8.8614391558764299E-2</v>
      </c>
      <c r="J161" s="153">
        <v>9.6013409566245003E-2</v>
      </c>
      <c r="K161" s="153" t="s">
        <v>200</v>
      </c>
    </row>
    <row r="162" spans="1:11" hidden="1" x14ac:dyDescent="0.2">
      <c r="A162" s="86" t="s">
        <v>225</v>
      </c>
      <c r="B162" s="152" t="s">
        <v>21</v>
      </c>
      <c r="C162" s="159" t="s">
        <v>65</v>
      </c>
      <c r="D162" s="77" t="s">
        <v>257</v>
      </c>
      <c r="E162" s="77">
        <v>4.5033596342307802E-2</v>
      </c>
      <c r="F162" s="77">
        <v>0.35620949431493698</v>
      </c>
      <c r="G162" s="77">
        <v>0.12642446947944599</v>
      </c>
      <c r="H162" s="77">
        <v>-0.68146045704707103</v>
      </c>
      <c r="I162" s="77">
        <v>0.77152764973168697</v>
      </c>
      <c r="J162" s="77">
        <v>0.90021236908165803</v>
      </c>
      <c r="K162" s="77"/>
    </row>
    <row r="163" spans="1:11" x14ac:dyDescent="0.2">
      <c r="A163" s="84" t="s">
        <v>225</v>
      </c>
      <c r="B163" s="142" t="s">
        <v>29</v>
      </c>
      <c r="C163" s="41" t="s">
        <v>66</v>
      </c>
      <c r="D163" s="41" t="s">
        <v>257</v>
      </c>
      <c r="E163" s="41">
        <v>-0.38600957351773002</v>
      </c>
      <c r="F163" s="41">
        <v>0.212583855305151</v>
      </c>
      <c r="G163" s="41">
        <v>-1.8157991017880399</v>
      </c>
      <c r="H163" s="41">
        <v>-0.80752408877902004</v>
      </c>
      <c r="I163" s="41">
        <v>3.5504941743558602E-2</v>
      </c>
      <c r="J163" s="41">
        <v>7.2254966348921798E-2</v>
      </c>
      <c r="K163" s="41" t="s">
        <v>200</v>
      </c>
    </row>
    <row r="164" spans="1:11" x14ac:dyDescent="0.2">
      <c r="A164" s="86" t="s">
        <v>225</v>
      </c>
      <c r="B164" s="154" t="s">
        <v>29</v>
      </c>
      <c r="C164" s="159" t="s">
        <v>64</v>
      </c>
      <c r="D164" s="77" t="s">
        <v>257</v>
      </c>
      <c r="E164" s="77">
        <v>-0.28394744133963801</v>
      </c>
      <c r="F164" s="77">
        <v>0.30235853303038202</v>
      </c>
      <c r="G164" s="77">
        <v>-0.93910841044828497</v>
      </c>
      <c r="H164" s="77">
        <v>-0.886688161005035</v>
      </c>
      <c r="I164" s="77">
        <v>0.31879327832575999</v>
      </c>
      <c r="J164" s="77">
        <v>0.35081494021132797</v>
      </c>
      <c r="K164" s="77"/>
    </row>
    <row r="165" spans="1:11" x14ac:dyDescent="0.2">
      <c r="A165" s="86" t="s">
        <v>225</v>
      </c>
      <c r="B165" s="154" t="s">
        <v>29</v>
      </c>
      <c r="C165" s="160" t="s">
        <v>65</v>
      </c>
      <c r="D165" s="149" t="s">
        <v>257</v>
      </c>
      <c r="E165" s="149">
        <v>-0.42239651630000002</v>
      </c>
      <c r="F165" s="149">
        <v>0.20614592794617401</v>
      </c>
      <c r="G165" s="149">
        <v>-2.0490170264740399</v>
      </c>
      <c r="H165" s="149">
        <v>-0.84283390826608595</v>
      </c>
      <c r="I165" s="149">
        <v>-1.9591243339136498E-3</v>
      </c>
      <c r="J165" s="149">
        <v>4.9005562965746499E-2</v>
      </c>
      <c r="K165" s="149" t="s">
        <v>61</v>
      </c>
    </row>
    <row r="166" spans="1:11" hidden="1" x14ac:dyDescent="0.2">
      <c r="A166" s="84" t="s">
        <v>225</v>
      </c>
      <c r="B166" s="118" t="s">
        <v>18</v>
      </c>
      <c r="C166" s="43" t="s">
        <v>66</v>
      </c>
      <c r="D166" s="43" t="s">
        <v>257</v>
      </c>
      <c r="E166" s="43">
        <v>-0.46018198919680903</v>
      </c>
      <c r="F166" s="43">
        <v>0.19311544789514801</v>
      </c>
      <c r="G166" s="43">
        <v>-2.3829372233683901</v>
      </c>
      <c r="H166" s="43">
        <v>-0.84309424888908102</v>
      </c>
      <c r="I166" s="43">
        <v>-7.7269729504536394E-2</v>
      </c>
      <c r="J166" s="43">
        <v>1.8972902701248798E-2</v>
      </c>
      <c r="K166" s="43" t="s">
        <v>61</v>
      </c>
    </row>
    <row r="167" spans="1:11" hidden="1" x14ac:dyDescent="0.2">
      <c r="A167" s="86" t="s">
        <v>225</v>
      </c>
      <c r="B167" s="155" t="s">
        <v>18</v>
      </c>
      <c r="C167" s="159" t="s">
        <v>64</v>
      </c>
      <c r="D167" s="77" t="s">
        <v>257</v>
      </c>
      <c r="E167" s="77">
        <v>-0.259939619657998</v>
      </c>
      <c r="F167" s="77">
        <v>0.26681211363264301</v>
      </c>
      <c r="G167" s="77">
        <v>-0.97424219657392797</v>
      </c>
      <c r="H167" s="77">
        <v>-0.79181984732871902</v>
      </c>
      <c r="I167" s="77">
        <v>0.27194060801272202</v>
      </c>
      <c r="J167" s="77">
        <v>0.33319816990642498</v>
      </c>
      <c r="K167" s="77"/>
    </row>
    <row r="168" spans="1:11" hidden="1" x14ac:dyDescent="0.2">
      <c r="A168" s="86" t="s">
        <v>225</v>
      </c>
      <c r="B168" s="155" t="s">
        <v>18</v>
      </c>
      <c r="C168" s="160" t="s">
        <v>65</v>
      </c>
      <c r="D168" s="149" t="s">
        <v>257</v>
      </c>
      <c r="E168" s="149">
        <v>-0.70345051536153802</v>
      </c>
      <c r="F168" s="149">
        <v>0.225479886962134</v>
      </c>
      <c r="G168" s="149">
        <v>-3.1197927444396498</v>
      </c>
      <c r="H168" s="149">
        <v>-1.1633197767127501</v>
      </c>
      <c r="I168" s="149">
        <v>-0.24358125401032399</v>
      </c>
      <c r="J168" s="149">
        <v>3.8944886915571399E-3</v>
      </c>
      <c r="K168" s="149" t="s">
        <v>61</v>
      </c>
    </row>
    <row r="169" spans="1:11" hidden="1" x14ac:dyDescent="0.2">
      <c r="A169" s="84" t="s">
        <v>225</v>
      </c>
      <c r="B169" s="120" t="s">
        <v>14</v>
      </c>
      <c r="C169" s="41" t="s">
        <v>66</v>
      </c>
      <c r="D169" s="41" t="s">
        <v>257</v>
      </c>
      <c r="E169" s="41">
        <v>-0.34103115348155999</v>
      </c>
      <c r="F169" s="41">
        <v>0.194187329961618</v>
      </c>
      <c r="G169" s="41">
        <v>-1.75619672791715</v>
      </c>
      <c r="H169" s="41">
        <v>-0.72606875730693399</v>
      </c>
      <c r="I169" s="41">
        <v>4.4006450343813897E-2</v>
      </c>
      <c r="J169" s="41">
        <v>8.19705201867479E-2</v>
      </c>
      <c r="K169" s="41" t="s">
        <v>200</v>
      </c>
    </row>
    <row r="170" spans="1:11" hidden="1" x14ac:dyDescent="0.2">
      <c r="A170" s="86" t="s">
        <v>225</v>
      </c>
      <c r="B170" s="121" t="s">
        <v>14</v>
      </c>
      <c r="C170" s="159" t="s">
        <v>64</v>
      </c>
      <c r="D170" s="77" t="s">
        <v>257</v>
      </c>
      <c r="E170" s="77">
        <v>-0.109349691906226</v>
      </c>
      <c r="F170" s="77">
        <v>0.262826410499789</v>
      </c>
      <c r="G170" s="77">
        <v>-0.41605290616832202</v>
      </c>
      <c r="H170" s="77">
        <v>-0.63328456559407198</v>
      </c>
      <c r="I170" s="77">
        <v>0.41458518178162002</v>
      </c>
      <c r="J170" s="77">
        <v>0.67860883472051303</v>
      </c>
      <c r="K170" s="77"/>
    </row>
    <row r="171" spans="1:11" hidden="1" x14ac:dyDescent="0.2">
      <c r="A171" s="86" t="s">
        <v>225</v>
      </c>
      <c r="B171" s="121" t="s">
        <v>14</v>
      </c>
      <c r="C171" s="160" t="s">
        <v>65</v>
      </c>
      <c r="D171" s="149" t="s">
        <v>257</v>
      </c>
      <c r="E171" s="149">
        <v>-0.61723426065384601</v>
      </c>
      <c r="F171" s="149">
        <v>0.248702577657816</v>
      </c>
      <c r="G171" s="149">
        <v>-2.4818169014037501</v>
      </c>
      <c r="H171" s="149">
        <v>-1.12446651194041</v>
      </c>
      <c r="I171" s="149">
        <v>-0.11000200936728401</v>
      </c>
      <c r="J171" s="149">
        <v>1.8697129160311202E-2</v>
      </c>
      <c r="K171" s="149" t="s">
        <v>61</v>
      </c>
    </row>
    <row r="172" spans="1:11" hidden="1" x14ac:dyDescent="0.2">
      <c r="A172" t="s">
        <v>77</v>
      </c>
      <c r="B172" t="s">
        <v>252</v>
      </c>
      <c r="C172">
        <v>0</v>
      </c>
      <c r="D172" t="s">
        <v>128</v>
      </c>
      <c r="E172">
        <v>-1.1278714744226399</v>
      </c>
      <c r="F172">
        <v>1.01626241031944</v>
      </c>
      <c r="G172">
        <v>-1.1098230761758801</v>
      </c>
      <c r="H172">
        <v>-3.1547429408617602</v>
      </c>
      <c r="I172">
        <v>0.89899999201648595</v>
      </c>
      <c r="J172">
        <v>0.27087335207023799</v>
      </c>
    </row>
    <row r="173" spans="1:11" hidden="1" x14ac:dyDescent="0.2">
      <c r="A173" t="s">
        <v>77</v>
      </c>
      <c r="B173" t="s">
        <v>252</v>
      </c>
      <c r="C173">
        <v>0</v>
      </c>
      <c r="D173" t="s">
        <v>203</v>
      </c>
      <c r="E173">
        <v>-0.48917746114343802</v>
      </c>
      <c r="F173">
        <v>0.78995136051173498</v>
      </c>
      <c r="G173">
        <v>-0.61925010272347203</v>
      </c>
      <c r="H173">
        <v>-2.0646857710421802</v>
      </c>
      <c r="I173">
        <v>1.0863308487553001</v>
      </c>
      <c r="J173">
        <v>0.53776189568500898</v>
      </c>
    </row>
    <row r="174" spans="1:11" hidden="1" x14ac:dyDescent="0.2">
      <c r="A174" t="s">
        <v>77</v>
      </c>
      <c r="B174" t="s">
        <v>252</v>
      </c>
      <c r="C174">
        <v>0</v>
      </c>
      <c r="D174" t="s">
        <v>205</v>
      </c>
      <c r="E174">
        <v>-0.38333890059103798</v>
      </c>
      <c r="F174">
        <v>0.46395799090047701</v>
      </c>
      <c r="G174">
        <v>-0.82623622851506795</v>
      </c>
      <c r="H174">
        <v>-1.30867393594575</v>
      </c>
      <c r="I174">
        <v>0.54199613476367103</v>
      </c>
      <c r="J174">
        <v>0.41147745147991899</v>
      </c>
    </row>
    <row r="175" spans="1:11" hidden="1" x14ac:dyDescent="0.2">
      <c r="A175" t="s">
        <v>77</v>
      </c>
      <c r="B175" t="s">
        <v>252</v>
      </c>
      <c r="C175">
        <v>1</v>
      </c>
      <c r="D175" t="s">
        <v>128</v>
      </c>
      <c r="E175">
        <v>4.4729469814513902E-2</v>
      </c>
      <c r="F175">
        <v>0.40924990698187702</v>
      </c>
      <c r="G175">
        <v>0.109296224755146</v>
      </c>
      <c r="H175">
        <v>-0.79228057098487303</v>
      </c>
      <c r="I175">
        <v>0.88173951061389999</v>
      </c>
      <c r="J175">
        <v>0.91372034087812903</v>
      </c>
    </row>
    <row r="176" spans="1:11" hidden="1" x14ac:dyDescent="0.2">
      <c r="A176" t="s">
        <v>77</v>
      </c>
      <c r="B176" t="s">
        <v>252</v>
      </c>
      <c r="C176">
        <v>1</v>
      </c>
      <c r="D176" t="s">
        <v>203</v>
      </c>
      <c r="E176">
        <v>-6.0940539252777703E-2</v>
      </c>
      <c r="F176">
        <v>0.34500891885646201</v>
      </c>
      <c r="G176">
        <v>-0.17663467789402701</v>
      </c>
      <c r="H176">
        <v>-0.76656300689817003</v>
      </c>
      <c r="I176">
        <v>0.64468192839261496</v>
      </c>
      <c r="J176">
        <v>0.86102315915819005</v>
      </c>
    </row>
    <row r="177" spans="1:10" hidden="1" x14ac:dyDescent="0.2">
      <c r="A177" t="s">
        <v>77</v>
      </c>
      <c r="B177" t="s">
        <v>252</v>
      </c>
      <c r="C177">
        <v>1</v>
      </c>
      <c r="D177" t="s">
        <v>205</v>
      </c>
      <c r="E177">
        <v>9.4126424513713794E-2</v>
      </c>
      <c r="F177">
        <v>0.26566298540883498</v>
      </c>
      <c r="G177">
        <v>0.35430763668058901</v>
      </c>
      <c r="H177">
        <v>-0.44921538806190298</v>
      </c>
      <c r="I177">
        <v>0.63746823708932998</v>
      </c>
      <c r="J177">
        <v>0.72567173965006604</v>
      </c>
    </row>
    <row r="178" spans="1:10" hidden="1" x14ac:dyDescent="0.2">
      <c r="A178" t="s">
        <v>77</v>
      </c>
      <c r="B178" t="s">
        <v>253</v>
      </c>
      <c r="C178">
        <v>0</v>
      </c>
      <c r="D178" t="s">
        <v>128</v>
      </c>
      <c r="E178">
        <v>-0.40165903393340802</v>
      </c>
      <c r="F178">
        <v>0.86784122945049902</v>
      </c>
      <c r="G178">
        <v>-0.46282548040236698</v>
      </c>
      <c r="H178">
        <v>-2.1325137890746202</v>
      </c>
      <c r="I178">
        <v>1.3291957212078001</v>
      </c>
      <c r="J178">
        <v>0.64492507477563599</v>
      </c>
    </row>
    <row r="179" spans="1:10" hidden="1" x14ac:dyDescent="0.2">
      <c r="A179" t="s">
        <v>77</v>
      </c>
      <c r="B179" t="s">
        <v>253</v>
      </c>
      <c r="C179">
        <v>0</v>
      </c>
      <c r="D179" t="s">
        <v>203</v>
      </c>
      <c r="E179">
        <v>-0.15289949377574</v>
      </c>
      <c r="F179">
        <v>0.67458203014427198</v>
      </c>
      <c r="G179">
        <v>-0.22665811857312501</v>
      </c>
      <c r="H179">
        <v>-1.4983109296294299</v>
      </c>
      <c r="I179">
        <v>1.19251194207795</v>
      </c>
      <c r="J179">
        <v>0.82135019149025201</v>
      </c>
    </row>
    <row r="180" spans="1:10" hidden="1" x14ac:dyDescent="0.2">
      <c r="A180" t="s">
        <v>77</v>
      </c>
      <c r="B180" t="s">
        <v>253</v>
      </c>
      <c r="C180">
        <v>0</v>
      </c>
      <c r="D180" t="s">
        <v>205</v>
      </c>
      <c r="E180">
        <v>-0.229491535972879</v>
      </c>
      <c r="F180">
        <v>0.39619872697042102</v>
      </c>
      <c r="G180">
        <v>-0.57923340069190099</v>
      </c>
      <c r="H180">
        <v>-1.0196849806791899</v>
      </c>
      <c r="I180">
        <v>0.56070190873342796</v>
      </c>
      <c r="J180">
        <v>0.56429112851808105</v>
      </c>
    </row>
    <row r="181" spans="1:10" hidden="1" x14ac:dyDescent="0.2">
      <c r="A181" t="s">
        <v>77</v>
      </c>
      <c r="B181" t="s">
        <v>253</v>
      </c>
      <c r="C181">
        <v>1</v>
      </c>
      <c r="D181" t="s">
        <v>128</v>
      </c>
      <c r="E181">
        <v>-0.202231798316898</v>
      </c>
      <c r="F181">
        <v>0.50308164181736903</v>
      </c>
      <c r="G181">
        <v>-0.40198604263582499</v>
      </c>
      <c r="H181">
        <v>-1.23114928457457</v>
      </c>
      <c r="I181">
        <v>0.82668568794077202</v>
      </c>
      <c r="J181">
        <v>0.690641738565547</v>
      </c>
    </row>
    <row r="182" spans="1:10" hidden="1" x14ac:dyDescent="0.2">
      <c r="A182" t="s">
        <v>77</v>
      </c>
      <c r="B182" t="s">
        <v>253</v>
      </c>
      <c r="C182">
        <v>1</v>
      </c>
      <c r="D182" t="s">
        <v>203</v>
      </c>
      <c r="E182">
        <v>-0.43718642989305501</v>
      </c>
      <c r="F182">
        <v>0.42411165006723001</v>
      </c>
      <c r="G182">
        <v>-1.0308286269046201</v>
      </c>
      <c r="H182">
        <v>-1.3045921481843701</v>
      </c>
      <c r="I182">
        <v>0.43021928839825602</v>
      </c>
      <c r="J182">
        <v>0.31114217886426698</v>
      </c>
    </row>
    <row r="183" spans="1:10" hidden="1" x14ac:dyDescent="0.2">
      <c r="A183" t="s">
        <v>77</v>
      </c>
      <c r="B183" t="s">
        <v>253</v>
      </c>
      <c r="C183">
        <v>1</v>
      </c>
      <c r="D183" t="s">
        <v>205</v>
      </c>
      <c r="E183">
        <v>-0.19856056347801301</v>
      </c>
      <c r="F183">
        <v>0.32657349113459599</v>
      </c>
      <c r="G183">
        <v>-0.60801188359828495</v>
      </c>
      <c r="H183">
        <v>-0.86647834788125</v>
      </c>
      <c r="I183">
        <v>0.46935722092522397</v>
      </c>
      <c r="J183">
        <v>0.54791216453901204</v>
      </c>
    </row>
    <row r="184" spans="1:10" hidden="1" x14ac:dyDescent="0.2">
      <c r="A184" t="s">
        <v>77</v>
      </c>
      <c r="B184" t="s">
        <v>254</v>
      </c>
      <c r="C184">
        <v>0</v>
      </c>
      <c r="D184" t="s">
        <v>128</v>
      </c>
      <c r="E184">
        <v>0.32479810498392903</v>
      </c>
      <c r="F184">
        <v>0.78267035612288804</v>
      </c>
      <c r="G184">
        <v>0.41498710465141397</v>
      </c>
      <c r="H184">
        <v>-1.2361886995507301</v>
      </c>
      <c r="I184">
        <v>1.8857849095185899</v>
      </c>
      <c r="J184">
        <v>0.67942051665545</v>
      </c>
    </row>
    <row r="185" spans="1:10" hidden="1" x14ac:dyDescent="0.2">
      <c r="A185" t="s">
        <v>77</v>
      </c>
      <c r="B185" t="s">
        <v>254</v>
      </c>
      <c r="C185">
        <v>0</v>
      </c>
      <c r="D185" t="s">
        <v>203</v>
      </c>
      <c r="E185">
        <v>-3.1132682627270699E-2</v>
      </c>
      <c r="F185">
        <v>0.608377822866773</v>
      </c>
      <c r="G185">
        <v>-5.1173270058676001E-2</v>
      </c>
      <c r="H185">
        <v>-1.24450399053132</v>
      </c>
      <c r="I185">
        <v>1.18223862527678</v>
      </c>
      <c r="J185">
        <v>0.95933319878892498</v>
      </c>
    </row>
    <row r="186" spans="1:10" hidden="1" x14ac:dyDescent="0.2">
      <c r="A186" t="s">
        <v>77</v>
      </c>
      <c r="B186" t="s">
        <v>254</v>
      </c>
      <c r="C186">
        <v>0</v>
      </c>
      <c r="D186" t="s">
        <v>205</v>
      </c>
      <c r="E186">
        <v>-3.7173186166472402E-2</v>
      </c>
      <c r="F186">
        <v>0.35731535701492301</v>
      </c>
      <c r="G186">
        <v>-0.104034672556545</v>
      </c>
      <c r="H186">
        <v>-0.74981619480280504</v>
      </c>
      <c r="I186">
        <v>0.67546982246985998</v>
      </c>
      <c r="J186">
        <v>0.91743933482060902</v>
      </c>
    </row>
    <row r="187" spans="1:10" hidden="1" x14ac:dyDescent="0.2">
      <c r="A187" t="s">
        <v>77</v>
      </c>
      <c r="B187" t="s">
        <v>254</v>
      </c>
      <c r="C187">
        <v>1</v>
      </c>
      <c r="D187" t="s">
        <v>128</v>
      </c>
      <c r="E187">
        <v>-0.70260742204361903</v>
      </c>
      <c r="F187">
        <v>0.46855080725523801</v>
      </c>
      <c r="G187">
        <v>-1.49953305204932</v>
      </c>
      <c r="H187">
        <v>-1.66090142188724</v>
      </c>
      <c r="I187">
        <v>0.25568657779999998</v>
      </c>
      <c r="J187">
        <v>0.144544152753251</v>
      </c>
    </row>
    <row r="188" spans="1:10" hidden="1" x14ac:dyDescent="0.2">
      <c r="A188" t="s">
        <v>77</v>
      </c>
      <c r="B188" t="s">
        <v>254</v>
      </c>
      <c r="C188">
        <v>1</v>
      </c>
      <c r="D188" t="s">
        <v>203</v>
      </c>
      <c r="E188">
        <v>0.42996649134791698</v>
      </c>
      <c r="F188">
        <v>0.39500120753261603</v>
      </c>
      <c r="G188">
        <v>1.08851943525366</v>
      </c>
      <c r="H188">
        <v>-0.37790168697600102</v>
      </c>
      <c r="I188">
        <v>1.2378346696718301</v>
      </c>
      <c r="J188">
        <v>0.28532960094367299</v>
      </c>
    </row>
    <row r="189" spans="1:10" hidden="1" x14ac:dyDescent="0.2">
      <c r="A189" t="s">
        <v>77</v>
      </c>
      <c r="B189" t="s">
        <v>254</v>
      </c>
      <c r="C189">
        <v>1</v>
      </c>
      <c r="D189" t="s">
        <v>205</v>
      </c>
      <c r="E189">
        <v>-0.13562406532150201</v>
      </c>
      <c r="F189">
        <v>0.30415793418044201</v>
      </c>
      <c r="G189">
        <v>-0.44590013963286101</v>
      </c>
      <c r="H189">
        <v>-0.75769688819719005</v>
      </c>
      <c r="I189">
        <v>0.48644875755418698</v>
      </c>
      <c r="J189">
        <v>0.65898082280422599</v>
      </c>
    </row>
    <row r="190" spans="1:10" hidden="1" x14ac:dyDescent="0.2">
      <c r="A190" t="s">
        <v>77</v>
      </c>
      <c r="B190" t="s">
        <v>255</v>
      </c>
      <c r="C190">
        <v>0</v>
      </c>
      <c r="D190" t="s">
        <v>128</v>
      </c>
      <c r="E190">
        <v>-0.97360801175845402</v>
      </c>
      <c r="F190">
        <v>0.50559802597199099</v>
      </c>
      <c r="G190">
        <v>-1.9256562758264999</v>
      </c>
      <c r="H190">
        <v>-1.9819914783952399</v>
      </c>
      <c r="I190">
        <v>3.4775454878336103E-2</v>
      </c>
      <c r="J190">
        <v>5.8209939299138799E-2</v>
      </c>
    </row>
    <row r="191" spans="1:10" hidden="1" x14ac:dyDescent="0.2">
      <c r="A191" t="s">
        <v>77</v>
      </c>
      <c r="B191" t="s">
        <v>255</v>
      </c>
      <c r="C191">
        <v>0</v>
      </c>
      <c r="D191" t="s">
        <v>203</v>
      </c>
      <c r="E191">
        <v>-0.41074705925205601</v>
      </c>
      <c r="F191">
        <v>0.39300661367872503</v>
      </c>
      <c r="G191">
        <v>-1.04514032323088</v>
      </c>
      <c r="H191">
        <v>-1.19457403474443</v>
      </c>
      <c r="I191">
        <v>0.373079916240314</v>
      </c>
      <c r="J191">
        <v>0.29955387569053099</v>
      </c>
    </row>
    <row r="192" spans="1:10" hidden="1" x14ac:dyDescent="0.2">
      <c r="A192" t="s">
        <v>77</v>
      </c>
      <c r="B192" t="s">
        <v>255</v>
      </c>
      <c r="C192">
        <v>0</v>
      </c>
      <c r="D192" t="s">
        <v>205</v>
      </c>
      <c r="E192">
        <v>-0.25239567901497501</v>
      </c>
      <c r="F192">
        <v>0.23082251390118599</v>
      </c>
      <c r="G192">
        <v>-1.09346213568674</v>
      </c>
      <c r="H192">
        <v>-0.71275666697182105</v>
      </c>
      <c r="I192">
        <v>0.20796530894187201</v>
      </c>
      <c r="J192">
        <v>0.27793963413886902</v>
      </c>
    </row>
    <row r="193" spans="1:10" hidden="1" x14ac:dyDescent="0.2">
      <c r="A193" t="s">
        <v>77</v>
      </c>
      <c r="B193" t="s">
        <v>255</v>
      </c>
      <c r="C193">
        <v>1</v>
      </c>
      <c r="D193" t="s">
        <v>128</v>
      </c>
      <c r="E193">
        <v>0.61744730368884904</v>
      </c>
      <c r="F193">
        <v>0.75327795199994296</v>
      </c>
      <c r="G193">
        <v>0.81968057348490597</v>
      </c>
      <c r="H193">
        <v>-0.92317909250645103</v>
      </c>
      <c r="I193">
        <v>2.1580736998841501</v>
      </c>
      <c r="J193">
        <v>0.41908429396114399</v>
      </c>
    </row>
    <row r="194" spans="1:10" hidden="1" x14ac:dyDescent="0.2">
      <c r="A194" t="s">
        <v>77</v>
      </c>
      <c r="B194" t="s">
        <v>255</v>
      </c>
      <c r="C194">
        <v>1</v>
      </c>
      <c r="D194" t="s">
        <v>203</v>
      </c>
      <c r="E194">
        <v>-0.478972062938889</v>
      </c>
      <c r="F194">
        <v>0.63503401560802097</v>
      </c>
      <c r="G194">
        <v>-0.75424630990875596</v>
      </c>
      <c r="H194">
        <v>-1.7777624554229701</v>
      </c>
      <c r="I194">
        <v>0.81981832954519696</v>
      </c>
      <c r="J194">
        <v>0.45678259010509698</v>
      </c>
    </row>
    <row r="195" spans="1:10" hidden="1" x14ac:dyDescent="0.2">
      <c r="A195" t="s">
        <v>77</v>
      </c>
      <c r="B195" t="s">
        <v>255</v>
      </c>
      <c r="C195">
        <v>1</v>
      </c>
      <c r="D195" t="s">
        <v>205</v>
      </c>
      <c r="E195">
        <v>-0.40782610646285</v>
      </c>
      <c r="F195">
        <v>0.48898745279328698</v>
      </c>
      <c r="G195">
        <v>-0.83402161780059703</v>
      </c>
      <c r="H195">
        <v>-1.40791773954665</v>
      </c>
      <c r="I195">
        <v>0.592265526620947</v>
      </c>
      <c r="J195">
        <v>0.41108632112062898</v>
      </c>
    </row>
    <row r="196" spans="1:10" hidden="1" x14ac:dyDescent="0.2">
      <c r="A196" t="s">
        <v>77</v>
      </c>
      <c r="B196" t="s">
        <v>26</v>
      </c>
      <c r="C196">
        <v>0</v>
      </c>
      <c r="D196" t="s">
        <v>128</v>
      </c>
      <c r="E196">
        <v>-0.48447898452219501</v>
      </c>
      <c r="F196">
        <v>0.92063622168095705</v>
      </c>
      <c r="G196">
        <v>-0.52624367053210497</v>
      </c>
      <c r="H196">
        <v>-2.3206300314835002</v>
      </c>
      <c r="I196">
        <v>1.3516720624391101</v>
      </c>
      <c r="J196">
        <v>0.60038235180523503</v>
      </c>
    </row>
    <row r="197" spans="1:10" hidden="1" x14ac:dyDescent="0.2">
      <c r="A197" t="s">
        <v>77</v>
      </c>
      <c r="B197" t="s">
        <v>26</v>
      </c>
      <c r="C197">
        <v>0</v>
      </c>
      <c r="D197" t="s">
        <v>203</v>
      </c>
      <c r="E197">
        <v>-6.7807577844301997E-2</v>
      </c>
      <c r="F197">
        <v>0.71562012770368799</v>
      </c>
      <c r="G197">
        <v>-9.4753592331011993E-2</v>
      </c>
      <c r="H197">
        <v>-1.49506691846697</v>
      </c>
      <c r="I197">
        <v>1.35945176277837</v>
      </c>
      <c r="J197">
        <v>0.92478126571431896</v>
      </c>
    </row>
    <row r="198" spans="1:10" hidden="1" x14ac:dyDescent="0.2">
      <c r="A198" t="s">
        <v>77</v>
      </c>
      <c r="B198" t="s">
        <v>26</v>
      </c>
      <c r="C198">
        <v>0</v>
      </c>
      <c r="D198" t="s">
        <v>205</v>
      </c>
      <c r="E198">
        <v>-5.9657456839733503E-2</v>
      </c>
      <c r="F198">
        <v>0.42030141764964202</v>
      </c>
      <c r="G198">
        <v>-0.141939699307565</v>
      </c>
      <c r="H198">
        <v>-0.89792220233022102</v>
      </c>
      <c r="I198">
        <v>0.77860728865075401</v>
      </c>
      <c r="J198">
        <v>0.88753536657183496</v>
      </c>
    </row>
    <row r="199" spans="1:10" hidden="1" x14ac:dyDescent="0.2">
      <c r="A199" t="s">
        <v>77</v>
      </c>
      <c r="B199" t="s">
        <v>26</v>
      </c>
      <c r="C199">
        <v>1</v>
      </c>
      <c r="D199" t="s">
        <v>128</v>
      </c>
      <c r="E199">
        <v>7.89995188343907E-2</v>
      </c>
      <c r="F199">
        <v>0.446984450964379</v>
      </c>
      <c r="G199">
        <v>0.17673885224407099</v>
      </c>
      <c r="H199">
        <v>-0.83518632985037</v>
      </c>
      <c r="I199">
        <v>0.99318536751915198</v>
      </c>
      <c r="J199">
        <v>0.86094207262179701</v>
      </c>
    </row>
    <row r="200" spans="1:10" hidden="1" x14ac:dyDescent="0.2">
      <c r="A200" t="s">
        <v>77</v>
      </c>
      <c r="B200" t="s">
        <v>26</v>
      </c>
      <c r="C200">
        <v>1</v>
      </c>
      <c r="D200" t="s">
        <v>203</v>
      </c>
      <c r="E200">
        <v>-0.21526273700763901</v>
      </c>
      <c r="F200">
        <v>0.37682017647886501</v>
      </c>
      <c r="G200">
        <v>-0.57126117560669698</v>
      </c>
      <c r="H200">
        <v>-0.98594653169588897</v>
      </c>
      <c r="I200">
        <v>0.55542105768061101</v>
      </c>
      <c r="J200">
        <v>0.57222369900586401</v>
      </c>
    </row>
    <row r="201" spans="1:10" hidden="1" x14ac:dyDescent="0.2">
      <c r="A201" t="s">
        <v>77</v>
      </c>
      <c r="B201" t="s">
        <v>26</v>
      </c>
      <c r="C201">
        <v>1</v>
      </c>
      <c r="D201" t="s">
        <v>205</v>
      </c>
      <c r="E201">
        <v>0.18690714189447699</v>
      </c>
      <c r="F201">
        <v>0.290158217872935</v>
      </c>
      <c r="G201">
        <v>0.64415594796741904</v>
      </c>
      <c r="H201">
        <v>-0.40653304620764902</v>
      </c>
      <c r="I201">
        <v>0.78034732999660295</v>
      </c>
      <c r="J201">
        <v>0.52453686850958503</v>
      </c>
    </row>
    <row r="202" spans="1:10" hidden="1" x14ac:dyDescent="0.2">
      <c r="A202" t="s">
        <v>77</v>
      </c>
      <c r="B202" t="s">
        <v>17</v>
      </c>
      <c r="C202">
        <v>0</v>
      </c>
      <c r="D202" t="s">
        <v>128</v>
      </c>
      <c r="E202">
        <v>-0.68564318688156001</v>
      </c>
      <c r="F202">
        <v>0.91980775750852495</v>
      </c>
      <c r="G202">
        <v>-0.74542009597609304</v>
      </c>
      <c r="H202">
        <v>-2.5201419141515902</v>
      </c>
      <c r="I202">
        <v>1.1488555403884799</v>
      </c>
      <c r="J202">
        <v>0.45851350668025098</v>
      </c>
    </row>
    <row r="203" spans="1:10" hidden="1" x14ac:dyDescent="0.2">
      <c r="A203" t="s">
        <v>77</v>
      </c>
      <c r="B203" t="s">
        <v>17</v>
      </c>
      <c r="C203">
        <v>0</v>
      </c>
      <c r="D203" t="s">
        <v>203</v>
      </c>
      <c r="E203">
        <v>-7.43965462168934E-2</v>
      </c>
      <c r="F203">
        <v>0.71497615387025504</v>
      </c>
      <c r="G203">
        <v>-0.10405458393846501</v>
      </c>
      <c r="H203">
        <v>-1.50037152152716</v>
      </c>
      <c r="I203">
        <v>1.3515784290933699</v>
      </c>
      <c r="J203">
        <v>0.91742359113576</v>
      </c>
    </row>
    <row r="204" spans="1:10" hidden="1" x14ac:dyDescent="0.2">
      <c r="A204" t="s">
        <v>77</v>
      </c>
      <c r="B204" t="s">
        <v>17</v>
      </c>
      <c r="C204">
        <v>0</v>
      </c>
      <c r="D204" t="s">
        <v>205</v>
      </c>
      <c r="E204">
        <v>-0.18891389521729901</v>
      </c>
      <c r="F204">
        <v>0.41992319587436999</v>
      </c>
      <c r="G204">
        <v>-0.44987725630145298</v>
      </c>
      <c r="H204">
        <v>-1.0264243011626999</v>
      </c>
      <c r="I204">
        <v>0.64859651072810498</v>
      </c>
      <c r="J204">
        <v>0.65418903302568499</v>
      </c>
    </row>
    <row r="205" spans="1:10" hidden="1" x14ac:dyDescent="0.2">
      <c r="A205" t="s">
        <v>77</v>
      </c>
      <c r="B205" t="s">
        <v>17</v>
      </c>
      <c r="C205">
        <v>1</v>
      </c>
      <c r="D205" t="s">
        <v>128</v>
      </c>
      <c r="E205">
        <v>0.21942808948581799</v>
      </c>
      <c r="F205">
        <v>0.35528455762140798</v>
      </c>
      <c r="G205">
        <v>0.61761223441532298</v>
      </c>
      <c r="H205">
        <v>-0.50721041915349196</v>
      </c>
      <c r="I205">
        <v>0.94606659812512695</v>
      </c>
      <c r="J205">
        <v>0.54165085213110198</v>
      </c>
    </row>
    <row r="206" spans="1:10" hidden="1" x14ac:dyDescent="0.2">
      <c r="A206" t="s">
        <v>77</v>
      </c>
      <c r="B206" t="s">
        <v>17</v>
      </c>
      <c r="C206">
        <v>1</v>
      </c>
      <c r="D206" t="s">
        <v>203</v>
      </c>
      <c r="E206">
        <v>-0.20477367435902799</v>
      </c>
      <c r="F206">
        <v>0.29951464623493901</v>
      </c>
      <c r="G206">
        <v>-0.68368501151160299</v>
      </c>
      <c r="H206">
        <v>-0.81734990709161504</v>
      </c>
      <c r="I206">
        <v>0.407802558373559</v>
      </c>
      <c r="J206">
        <v>0.49960089147805298</v>
      </c>
    </row>
    <row r="207" spans="1:10" hidden="1" x14ac:dyDescent="0.2">
      <c r="A207" t="s">
        <v>77</v>
      </c>
      <c r="B207" t="s">
        <v>17</v>
      </c>
      <c r="C207">
        <v>1</v>
      </c>
      <c r="D207" t="s">
        <v>205</v>
      </c>
      <c r="E207">
        <v>7.5348593709631997E-2</v>
      </c>
      <c r="F207">
        <v>0.23063158876060599</v>
      </c>
      <c r="G207">
        <v>0.32670543577550998</v>
      </c>
      <c r="H207">
        <v>-0.39634596803571898</v>
      </c>
      <c r="I207">
        <v>0.54704315545498305</v>
      </c>
      <c r="J207">
        <v>0.74623703175383205</v>
      </c>
    </row>
    <row r="208" spans="1:10" hidden="1" x14ac:dyDescent="0.2">
      <c r="A208" t="s">
        <v>77</v>
      </c>
      <c r="B208" t="s">
        <v>21</v>
      </c>
      <c r="C208">
        <v>0</v>
      </c>
      <c r="D208" t="s">
        <v>128</v>
      </c>
      <c r="E208">
        <v>-0.44817789565836702</v>
      </c>
      <c r="F208">
        <v>0.84291398269850404</v>
      </c>
      <c r="G208">
        <v>-0.53170063002581802</v>
      </c>
      <c r="H208">
        <v>-2.1293168247831198</v>
      </c>
      <c r="I208">
        <v>1.2329610334663901</v>
      </c>
      <c r="J208">
        <v>0.59661675388429702</v>
      </c>
    </row>
    <row r="209" spans="1:10" hidden="1" x14ac:dyDescent="0.2">
      <c r="A209" t="s">
        <v>77</v>
      </c>
      <c r="B209" t="s">
        <v>21</v>
      </c>
      <c r="C209">
        <v>0</v>
      </c>
      <c r="D209" t="s">
        <v>203</v>
      </c>
      <c r="E209">
        <v>1.4194712713143799E-2</v>
      </c>
      <c r="F209">
        <v>0.65520582151390405</v>
      </c>
      <c r="G209">
        <v>2.1664509451924299E-2</v>
      </c>
      <c r="H209">
        <v>-1.2925720935627201</v>
      </c>
      <c r="I209">
        <v>1.320961518989</v>
      </c>
      <c r="J209">
        <v>0.98277721161934095</v>
      </c>
    </row>
    <row r="210" spans="1:10" hidden="1" x14ac:dyDescent="0.2">
      <c r="A210" t="s">
        <v>77</v>
      </c>
      <c r="B210" t="s">
        <v>21</v>
      </c>
      <c r="C210">
        <v>0</v>
      </c>
      <c r="D210" t="s">
        <v>205</v>
      </c>
      <c r="E210">
        <v>-0.174234721035706</v>
      </c>
      <c r="F210">
        <v>0.38481859994387801</v>
      </c>
      <c r="G210">
        <v>-0.45277104864763901</v>
      </c>
      <c r="H210">
        <v>-0.94173121806360605</v>
      </c>
      <c r="I210">
        <v>0.59326177599219398</v>
      </c>
      <c r="J210">
        <v>0.65211384192960598</v>
      </c>
    </row>
    <row r="211" spans="1:10" hidden="1" x14ac:dyDescent="0.2">
      <c r="A211" t="s">
        <v>77</v>
      </c>
      <c r="B211" t="s">
        <v>21</v>
      </c>
      <c r="C211">
        <v>1</v>
      </c>
      <c r="D211" t="s">
        <v>128</v>
      </c>
      <c r="E211">
        <v>0.36735359799960599</v>
      </c>
      <c r="F211">
        <v>0.50894215670393195</v>
      </c>
      <c r="G211">
        <v>0.72179832847548397</v>
      </c>
      <c r="H211">
        <v>-0.67354998702222402</v>
      </c>
      <c r="I211">
        <v>1.4082571830214401</v>
      </c>
      <c r="J211">
        <v>0.47619850775868999</v>
      </c>
    </row>
    <row r="212" spans="1:10" hidden="1" x14ac:dyDescent="0.2">
      <c r="A212" t="s">
        <v>77</v>
      </c>
      <c r="B212" t="s">
        <v>21</v>
      </c>
      <c r="C212">
        <v>1</v>
      </c>
      <c r="D212" t="s">
        <v>203</v>
      </c>
      <c r="E212">
        <v>-0.27511472876041698</v>
      </c>
      <c r="F212">
        <v>0.42905222517906499</v>
      </c>
      <c r="G212">
        <v>-0.64121501443232798</v>
      </c>
      <c r="H212">
        <v>-1.15262505771964</v>
      </c>
      <c r="I212">
        <v>0.60239560019880301</v>
      </c>
      <c r="J212">
        <v>0.52641857657453195</v>
      </c>
    </row>
    <row r="213" spans="1:10" hidden="1" x14ac:dyDescent="0.2">
      <c r="A213" t="s">
        <v>77</v>
      </c>
      <c r="B213" t="s">
        <v>21</v>
      </c>
      <c r="C213">
        <v>1</v>
      </c>
      <c r="D213" t="s">
        <v>205</v>
      </c>
      <c r="E213">
        <v>0.10275559073335</v>
      </c>
      <c r="F213">
        <v>0.33037782157972501</v>
      </c>
      <c r="G213">
        <v>0.31102448173432601</v>
      </c>
      <c r="H213">
        <v>-0.57294292306473305</v>
      </c>
      <c r="I213">
        <v>0.77845410453143304</v>
      </c>
      <c r="J213">
        <v>0.758006734566541</v>
      </c>
    </row>
    <row r="214" spans="1:10" hidden="1" x14ac:dyDescent="0.2">
      <c r="A214" t="s">
        <v>77</v>
      </c>
      <c r="B214" t="s">
        <v>29</v>
      </c>
      <c r="C214">
        <v>0</v>
      </c>
      <c r="D214" t="s">
        <v>128</v>
      </c>
      <c r="E214">
        <v>0.38930076164510802</v>
      </c>
      <c r="F214">
        <v>0.86553053680813097</v>
      </c>
      <c r="G214">
        <v>0.44978281538252302</v>
      </c>
      <c r="H214">
        <v>-1.33694546233627</v>
      </c>
      <c r="I214">
        <v>2.1155469856264801</v>
      </c>
      <c r="J214">
        <v>0.65425680447124102</v>
      </c>
    </row>
    <row r="215" spans="1:10" hidden="1" x14ac:dyDescent="0.2">
      <c r="A215" t="s">
        <v>77</v>
      </c>
      <c r="B215" t="s">
        <v>29</v>
      </c>
      <c r="C215">
        <v>0</v>
      </c>
      <c r="D215" t="s">
        <v>203</v>
      </c>
      <c r="E215">
        <v>-0.24471409622561799</v>
      </c>
      <c r="F215">
        <v>0.67278590467704302</v>
      </c>
      <c r="G215">
        <v>-0.36373249576785899</v>
      </c>
      <c r="H215">
        <v>-1.5865432727900599</v>
      </c>
      <c r="I215">
        <v>1.0971150803388301</v>
      </c>
      <c r="J215">
        <v>0.71715405547935496</v>
      </c>
    </row>
    <row r="216" spans="1:10" hidden="1" x14ac:dyDescent="0.2">
      <c r="A216" t="s">
        <v>77</v>
      </c>
      <c r="B216" t="s">
        <v>29</v>
      </c>
      <c r="C216">
        <v>0</v>
      </c>
      <c r="D216" t="s">
        <v>205</v>
      </c>
      <c r="E216">
        <v>-0.17962518887753701</v>
      </c>
      <c r="F216">
        <v>0.39514381801673398</v>
      </c>
      <c r="G216">
        <v>-0.45458180208688098</v>
      </c>
      <c r="H216">
        <v>-0.96771468401707195</v>
      </c>
      <c r="I216">
        <v>0.60846430626199699</v>
      </c>
      <c r="J216">
        <v>0.65081671456054901</v>
      </c>
    </row>
    <row r="217" spans="1:10" hidden="1" x14ac:dyDescent="0.2">
      <c r="A217" t="s">
        <v>77</v>
      </c>
      <c r="B217" t="s">
        <v>29</v>
      </c>
      <c r="C217">
        <v>1</v>
      </c>
      <c r="D217" t="s">
        <v>128</v>
      </c>
      <c r="E217">
        <v>-0.65520041383459104</v>
      </c>
      <c r="F217">
        <v>0.29301521474777598</v>
      </c>
      <c r="G217">
        <v>-2.23606277373201</v>
      </c>
      <c r="H217">
        <v>-1.25448381663262</v>
      </c>
      <c r="I217">
        <v>-5.5917011036560001E-2</v>
      </c>
      <c r="J217">
        <v>3.3207010398598899E-2</v>
      </c>
    </row>
    <row r="218" spans="1:10" hidden="1" x14ac:dyDescent="0.2">
      <c r="A218" t="s">
        <v>77</v>
      </c>
      <c r="B218" t="s">
        <v>29</v>
      </c>
      <c r="C218">
        <v>1</v>
      </c>
      <c r="D218" t="s">
        <v>203</v>
      </c>
      <c r="E218">
        <v>0.13764719375763901</v>
      </c>
      <c r="F218">
        <v>0.247019878866096</v>
      </c>
      <c r="G218">
        <v>0.55723124142674596</v>
      </c>
      <c r="H218">
        <v>-0.36756518469533001</v>
      </c>
      <c r="I218">
        <v>0.64285957221060697</v>
      </c>
      <c r="J218">
        <v>0.58164524010618401</v>
      </c>
    </row>
    <row r="219" spans="1:10" hidden="1" x14ac:dyDescent="0.2">
      <c r="A219" t="s">
        <v>77</v>
      </c>
      <c r="B219" t="s">
        <v>29</v>
      </c>
      <c r="C219">
        <v>1</v>
      </c>
      <c r="D219" t="s">
        <v>205</v>
      </c>
      <c r="E219">
        <v>-7.6443330462031597E-2</v>
      </c>
      <c r="F219">
        <v>0.19020968702028801</v>
      </c>
      <c r="G219">
        <v>-0.40188978626455601</v>
      </c>
      <c r="H219">
        <v>-0.46546582057670899</v>
      </c>
      <c r="I219">
        <v>0.31257915965264599</v>
      </c>
      <c r="J219">
        <v>0.69071179311845798</v>
      </c>
    </row>
    <row r="220" spans="1:10" hidden="1" x14ac:dyDescent="0.2">
      <c r="A220" t="s">
        <v>77</v>
      </c>
      <c r="B220" t="s">
        <v>18</v>
      </c>
      <c r="C220">
        <v>0</v>
      </c>
      <c r="D220" t="s">
        <v>128</v>
      </c>
      <c r="E220">
        <v>-0.26100279071583898</v>
      </c>
      <c r="F220">
        <v>0.773281702683424</v>
      </c>
      <c r="G220">
        <v>-0.33752614320255298</v>
      </c>
      <c r="H220">
        <v>-1.8032645164012699</v>
      </c>
      <c r="I220">
        <v>1.28125893496959</v>
      </c>
      <c r="J220">
        <v>0.736730362294027</v>
      </c>
    </row>
    <row r="221" spans="1:10" hidden="1" x14ac:dyDescent="0.2">
      <c r="A221" t="s">
        <v>77</v>
      </c>
      <c r="B221" t="s">
        <v>18</v>
      </c>
      <c r="C221">
        <v>0</v>
      </c>
      <c r="D221" t="s">
        <v>203</v>
      </c>
      <c r="E221">
        <v>-0.32863997659522698</v>
      </c>
      <c r="F221">
        <v>0.601079924722979</v>
      </c>
      <c r="G221">
        <v>-0.54674921433566104</v>
      </c>
      <c r="H221">
        <v>-1.5274560856033701</v>
      </c>
      <c r="I221">
        <v>0.87017613241291403</v>
      </c>
      <c r="J221">
        <v>0.58628975851313803</v>
      </c>
    </row>
    <row r="222" spans="1:10" hidden="1" x14ac:dyDescent="0.2">
      <c r="A222" t="s">
        <v>77</v>
      </c>
      <c r="B222" t="s">
        <v>18</v>
      </c>
      <c r="C222">
        <v>0</v>
      </c>
      <c r="D222" t="s">
        <v>205</v>
      </c>
      <c r="E222">
        <v>2.9217204563135001E-3</v>
      </c>
      <c r="F222">
        <v>0.35302912076058202</v>
      </c>
      <c r="G222">
        <v>8.2761457468970602E-3</v>
      </c>
      <c r="H222">
        <v>-0.701172659524543</v>
      </c>
      <c r="I222">
        <v>0.70701610043717</v>
      </c>
      <c r="J222">
        <v>0.993420208012739</v>
      </c>
    </row>
    <row r="223" spans="1:10" hidden="1" x14ac:dyDescent="0.2">
      <c r="A223" t="s">
        <v>77</v>
      </c>
      <c r="B223" t="s">
        <v>18</v>
      </c>
      <c r="C223">
        <v>1</v>
      </c>
      <c r="D223" t="s">
        <v>128</v>
      </c>
      <c r="E223">
        <v>-0.93616904114510402</v>
      </c>
      <c r="F223">
        <v>0.30951588135209501</v>
      </c>
      <c r="G223">
        <v>-3.0246236059213598</v>
      </c>
      <c r="H223">
        <v>-1.5692000963972399</v>
      </c>
      <c r="I223">
        <v>-0.30313798589296898</v>
      </c>
      <c r="J223">
        <v>5.1709877538502896E-3</v>
      </c>
    </row>
    <row r="224" spans="1:10" hidden="1" x14ac:dyDescent="0.2">
      <c r="A224" t="s">
        <v>77</v>
      </c>
      <c r="B224" t="s">
        <v>18</v>
      </c>
      <c r="C224">
        <v>1</v>
      </c>
      <c r="D224" t="s">
        <v>203</v>
      </c>
      <c r="E224">
        <v>-1.92554288312499E-2</v>
      </c>
      <c r="F224">
        <v>0.260930394295533</v>
      </c>
      <c r="G224">
        <v>-7.3795269743244005E-2</v>
      </c>
      <c r="H224">
        <v>-0.552918005777848</v>
      </c>
      <c r="I224">
        <v>0.51440714811534805</v>
      </c>
      <c r="J224">
        <v>0.94167995950747596</v>
      </c>
    </row>
    <row r="225" spans="1:10" hidden="1" x14ac:dyDescent="0.2">
      <c r="A225" t="s">
        <v>77</v>
      </c>
      <c r="B225" t="s">
        <v>18</v>
      </c>
      <c r="C225">
        <v>1</v>
      </c>
      <c r="D225" t="s">
        <v>205</v>
      </c>
      <c r="E225">
        <v>0.135664813568387</v>
      </c>
      <c r="F225">
        <v>0.200921030569924</v>
      </c>
      <c r="G225">
        <v>0.67521460139621203</v>
      </c>
      <c r="H225">
        <v>-0.27526483388107298</v>
      </c>
      <c r="I225">
        <v>0.54659446101784703</v>
      </c>
      <c r="J225">
        <v>0.50488795092120198</v>
      </c>
    </row>
    <row r="226" spans="1:10" hidden="1" x14ac:dyDescent="0.2">
      <c r="A226" t="s">
        <v>77</v>
      </c>
      <c r="B226" t="s">
        <v>14</v>
      </c>
      <c r="C226">
        <v>0</v>
      </c>
      <c r="D226" t="s">
        <v>128</v>
      </c>
      <c r="E226">
        <v>0.214164654123986</v>
      </c>
      <c r="F226">
        <v>0.75544396998631502</v>
      </c>
      <c r="G226">
        <v>0.28349508717088001</v>
      </c>
      <c r="H226">
        <v>-1.29252083548048</v>
      </c>
      <c r="I226">
        <v>1.72085014372845</v>
      </c>
      <c r="J226">
        <v>0.77763412404469801</v>
      </c>
    </row>
    <row r="227" spans="1:10" hidden="1" x14ac:dyDescent="0.2">
      <c r="A227" t="s">
        <v>77</v>
      </c>
      <c r="B227" t="s">
        <v>14</v>
      </c>
      <c r="C227">
        <v>0</v>
      </c>
      <c r="D227" t="s">
        <v>203</v>
      </c>
      <c r="E227">
        <v>2.3125006460499999E-2</v>
      </c>
      <c r="F227">
        <v>0.58721446923683496</v>
      </c>
      <c r="G227">
        <v>3.9380852604933299E-2</v>
      </c>
      <c r="H227">
        <v>-1.1480373235544601</v>
      </c>
      <c r="I227">
        <v>1.19428733647546</v>
      </c>
      <c r="J227">
        <v>0.96869884726731503</v>
      </c>
    </row>
    <row r="228" spans="1:10" hidden="1" x14ac:dyDescent="0.2">
      <c r="A228" t="s">
        <v>77</v>
      </c>
      <c r="B228" t="s">
        <v>14</v>
      </c>
      <c r="C228">
        <v>0</v>
      </c>
      <c r="D228" t="s">
        <v>205</v>
      </c>
      <c r="E228">
        <v>-0.20329021280701301</v>
      </c>
      <c r="F228">
        <v>0.34488559548567899</v>
      </c>
      <c r="G228">
        <v>-0.58944245705806797</v>
      </c>
      <c r="H228">
        <v>-0.89114284375895703</v>
      </c>
      <c r="I228">
        <v>0.48456241814493001</v>
      </c>
      <c r="J228">
        <v>0.55746220983952999</v>
      </c>
    </row>
    <row r="229" spans="1:10" hidden="1" x14ac:dyDescent="0.2">
      <c r="A229" t="s">
        <v>77</v>
      </c>
      <c r="B229" t="s">
        <v>14</v>
      </c>
      <c r="C229">
        <v>1</v>
      </c>
      <c r="D229" t="s">
        <v>128</v>
      </c>
      <c r="E229">
        <v>-0.695621792060934</v>
      </c>
      <c r="F229">
        <v>0.34123448930834999</v>
      </c>
      <c r="G229">
        <v>-2.03854479502027</v>
      </c>
      <c r="H229">
        <v>-1.3935246845123901</v>
      </c>
      <c r="I229">
        <v>2.2811003905173202E-3</v>
      </c>
      <c r="J229">
        <v>5.07050424675854E-2</v>
      </c>
    </row>
    <row r="230" spans="1:10" hidden="1" x14ac:dyDescent="0.2">
      <c r="A230" t="s">
        <v>77</v>
      </c>
      <c r="B230" t="s">
        <v>14</v>
      </c>
      <c r="C230">
        <v>1</v>
      </c>
      <c r="D230" t="s">
        <v>203</v>
      </c>
      <c r="E230">
        <v>8.0357442993054407E-3</v>
      </c>
      <c r="F230">
        <v>0.28767005251396199</v>
      </c>
      <c r="G230">
        <v>2.7933892419738201E-2</v>
      </c>
      <c r="H230">
        <v>-0.58031557425612101</v>
      </c>
      <c r="I230">
        <v>0.59638706285473198</v>
      </c>
      <c r="J230">
        <v>0.97790622552720197</v>
      </c>
    </row>
    <row r="231" spans="1:10" hidden="1" x14ac:dyDescent="0.2">
      <c r="A231" t="s">
        <v>77</v>
      </c>
      <c r="B231" t="s">
        <v>14</v>
      </c>
      <c r="C231">
        <v>1</v>
      </c>
      <c r="D231" t="s">
        <v>205</v>
      </c>
      <c r="E231">
        <v>0.317357427789626</v>
      </c>
      <c r="F231">
        <v>0.22151104156055401</v>
      </c>
      <c r="G231">
        <v>1.4326934926305701</v>
      </c>
      <c r="H231">
        <v>-0.135683520469708</v>
      </c>
      <c r="I231">
        <v>0.770398376048959</v>
      </c>
      <c r="J231">
        <v>0.162637992932402</v>
      </c>
    </row>
    <row r="232" spans="1:10" hidden="1" x14ac:dyDescent="0.2">
      <c r="A232" t="s">
        <v>78</v>
      </c>
      <c r="B232" t="s">
        <v>252</v>
      </c>
      <c r="C232">
        <v>0</v>
      </c>
      <c r="D232" t="s">
        <v>81</v>
      </c>
      <c r="E232">
        <v>-0.358090732251587</v>
      </c>
      <c r="F232">
        <v>0.39163220823358402</v>
      </c>
      <c r="G232">
        <v>-0.91435465399211502</v>
      </c>
      <c r="H232">
        <v>-1.13917654251755</v>
      </c>
      <c r="I232">
        <v>0.42299507801437503</v>
      </c>
      <c r="J232">
        <v>0.36366940042891799</v>
      </c>
    </row>
    <row r="233" spans="1:10" hidden="1" x14ac:dyDescent="0.2">
      <c r="A233" t="s">
        <v>78</v>
      </c>
      <c r="B233" t="s">
        <v>252</v>
      </c>
      <c r="C233">
        <v>0</v>
      </c>
      <c r="D233" t="s">
        <v>80</v>
      </c>
      <c r="E233">
        <v>-0.34818708550501698</v>
      </c>
      <c r="F233">
        <v>0.51177988514258699</v>
      </c>
      <c r="G233">
        <v>-0.68034538990919602</v>
      </c>
      <c r="H233">
        <v>-1.36889988149139</v>
      </c>
      <c r="I233">
        <v>0.67252571048135401</v>
      </c>
      <c r="J233">
        <v>0.49852990101163203</v>
      </c>
    </row>
    <row r="234" spans="1:10" hidden="1" x14ac:dyDescent="0.2">
      <c r="A234" t="s">
        <v>78</v>
      </c>
      <c r="B234" t="s">
        <v>252</v>
      </c>
      <c r="C234">
        <v>0</v>
      </c>
      <c r="D234" t="s">
        <v>79</v>
      </c>
      <c r="E234">
        <v>-1.68463274004348</v>
      </c>
      <c r="F234">
        <v>1.5066391872586899</v>
      </c>
      <c r="G234">
        <v>-1.1181394684872401</v>
      </c>
      <c r="H234">
        <v>-4.68952984916098</v>
      </c>
      <c r="I234">
        <v>1.3202643690740301</v>
      </c>
      <c r="J234">
        <v>0.26733012130505801</v>
      </c>
    </row>
    <row r="235" spans="1:10" hidden="1" x14ac:dyDescent="0.2">
      <c r="A235" t="s">
        <v>78</v>
      </c>
      <c r="B235" t="s">
        <v>252</v>
      </c>
      <c r="C235">
        <v>1</v>
      </c>
      <c r="D235" t="s">
        <v>81</v>
      </c>
      <c r="E235">
        <v>0.16513339974999999</v>
      </c>
      <c r="F235">
        <v>0.51632583577614199</v>
      </c>
      <c r="G235">
        <v>0.31982401094024498</v>
      </c>
      <c r="H235">
        <v>-0.89087150457830899</v>
      </c>
      <c r="I235">
        <v>1.2211383040783099</v>
      </c>
      <c r="J235">
        <v>0.75139456792436898</v>
      </c>
    </row>
    <row r="236" spans="1:10" hidden="1" x14ac:dyDescent="0.2">
      <c r="A236" t="s">
        <v>78</v>
      </c>
      <c r="B236" t="s">
        <v>252</v>
      </c>
      <c r="C236">
        <v>1</v>
      </c>
      <c r="D236" t="s">
        <v>80</v>
      </c>
      <c r="E236">
        <v>5.8853176555555498E-2</v>
      </c>
      <c r="F236">
        <v>0.547112221019322</v>
      </c>
      <c r="G236">
        <v>0.107570575641514</v>
      </c>
      <c r="H236">
        <v>-1.06011695544622</v>
      </c>
      <c r="I236">
        <v>1.17782330855733</v>
      </c>
      <c r="J236">
        <v>0.91507711840851902</v>
      </c>
    </row>
    <row r="237" spans="1:10" hidden="1" x14ac:dyDescent="0.2">
      <c r="A237" t="s">
        <v>78</v>
      </c>
      <c r="B237" t="s">
        <v>252</v>
      </c>
      <c r="C237">
        <v>1</v>
      </c>
      <c r="D237" t="s">
        <v>79</v>
      </c>
      <c r="E237">
        <v>0.1021054978</v>
      </c>
      <c r="F237">
        <v>0.59933140987806999</v>
      </c>
      <c r="G237">
        <v>0.17036567100791999</v>
      </c>
      <c r="H237">
        <v>-1.1236648671438101</v>
      </c>
      <c r="I237">
        <v>1.3278758627438101</v>
      </c>
      <c r="J237">
        <v>0.86590559329060401</v>
      </c>
    </row>
    <row r="238" spans="1:10" hidden="1" x14ac:dyDescent="0.2">
      <c r="A238" t="s">
        <v>78</v>
      </c>
      <c r="B238" t="s">
        <v>253</v>
      </c>
      <c r="C238">
        <v>0</v>
      </c>
      <c r="D238" t="s">
        <v>81</v>
      </c>
      <c r="E238">
        <v>-0.23199135683313701</v>
      </c>
      <c r="F238">
        <v>0.33443584416254801</v>
      </c>
      <c r="G238">
        <v>-0.69367970234787601</v>
      </c>
      <c r="H238">
        <v>-0.89900261593744901</v>
      </c>
      <c r="I238">
        <v>0.43501990227117399</v>
      </c>
      <c r="J238">
        <v>0.49017863588941502</v>
      </c>
    </row>
    <row r="239" spans="1:10" hidden="1" x14ac:dyDescent="0.2">
      <c r="A239" t="s">
        <v>78</v>
      </c>
      <c r="B239" t="s">
        <v>253</v>
      </c>
      <c r="C239">
        <v>0</v>
      </c>
      <c r="D239" t="s">
        <v>80</v>
      </c>
      <c r="E239">
        <v>-0.103723532745819</v>
      </c>
      <c r="F239">
        <v>0.43703641915730401</v>
      </c>
      <c r="G239">
        <v>-0.237333842671097</v>
      </c>
      <c r="H239">
        <v>-0.97536518630873303</v>
      </c>
      <c r="I239">
        <v>0.76791812081709498</v>
      </c>
      <c r="J239">
        <v>0.81309105399905401</v>
      </c>
    </row>
    <row r="240" spans="1:10" hidden="1" x14ac:dyDescent="0.2">
      <c r="A240" t="s">
        <v>78</v>
      </c>
      <c r="B240" t="s">
        <v>253</v>
      </c>
      <c r="C240">
        <v>0</v>
      </c>
      <c r="D240" t="s">
        <v>79</v>
      </c>
      <c r="E240">
        <v>-0.64151387713043195</v>
      </c>
      <c r="F240">
        <v>1.2866003812911799</v>
      </c>
      <c r="G240">
        <v>-0.49861160190753001</v>
      </c>
      <c r="H240">
        <v>-3.20755742559651</v>
      </c>
      <c r="I240">
        <v>1.9245296713356499</v>
      </c>
      <c r="J240">
        <v>0.61961623518574505</v>
      </c>
    </row>
    <row r="241" spans="1:10" hidden="1" x14ac:dyDescent="0.2">
      <c r="A241" t="s">
        <v>78</v>
      </c>
      <c r="B241" t="s">
        <v>253</v>
      </c>
      <c r="C241">
        <v>1</v>
      </c>
      <c r="D241" t="s">
        <v>81</v>
      </c>
      <c r="E241">
        <v>0.169147653208334</v>
      </c>
      <c r="F241">
        <v>0.63470765599096302</v>
      </c>
      <c r="G241">
        <v>0.266496948022858</v>
      </c>
      <c r="H241">
        <v>-1.12897525891295</v>
      </c>
      <c r="I241">
        <v>1.4672705653296201</v>
      </c>
      <c r="J241">
        <v>0.791742308179056</v>
      </c>
    </row>
    <row r="242" spans="1:10" hidden="1" x14ac:dyDescent="0.2">
      <c r="A242" t="s">
        <v>78</v>
      </c>
      <c r="B242" t="s">
        <v>253</v>
      </c>
      <c r="C242">
        <v>1</v>
      </c>
      <c r="D242" t="s">
        <v>80</v>
      </c>
      <c r="E242">
        <v>0.34510379411111203</v>
      </c>
      <c r="F242">
        <v>0.672552662109552</v>
      </c>
      <c r="G242">
        <v>0.51312531130075001</v>
      </c>
      <c r="H242">
        <v>-1.0304208463305999</v>
      </c>
      <c r="I242">
        <v>1.72062843455283</v>
      </c>
      <c r="J242">
        <v>0.61175073046956396</v>
      </c>
    </row>
    <row r="243" spans="1:10" hidden="1" x14ac:dyDescent="0.2">
      <c r="A243" t="s">
        <v>78</v>
      </c>
      <c r="B243" t="s">
        <v>253</v>
      </c>
      <c r="C243">
        <v>1</v>
      </c>
      <c r="D243" t="s">
        <v>79</v>
      </c>
      <c r="E243">
        <v>-0.36012141246666701</v>
      </c>
      <c r="F243">
        <v>0.73674452829510295</v>
      </c>
      <c r="G243">
        <v>-0.48880093252951901</v>
      </c>
      <c r="H243">
        <v>-1.86693316041489</v>
      </c>
      <c r="I243">
        <v>1.1466903354815501</v>
      </c>
      <c r="J243">
        <v>0.62865895020653795</v>
      </c>
    </row>
    <row r="244" spans="1:10" hidden="1" x14ac:dyDescent="0.2">
      <c r="A244" t="s">
        <v>78</v>
      </c>
      <c r="B244" t="s">
        <v>254</v>
      </c>
      <c r="C244">
        <v>0</v>
      </c>
      <c r="D244" t="s">
        <v>81</v>
      </c>
      <c r="E244">
        <v>0.143138102485312</v>
      </c>
      <c r="F244">
        <v>0.30161395007321501</v>
      </c>
      <c r="G244">
        <v>0.47457387979092502</v>
      </c>
      <c r="H244">
        <v>-0.45841195296860998</v>
      </c>
      <c r="I244">
        <v>0.74468815793923404</v>
      </c>
      <c r="J244">
        <v>0.63656794132350702</v>
      </c>
    </row>
    <row r="245" spans="1:10" hidden="1" x14ac:dyDescent="0.2">
      <c r="A245" t="s">
        <v>78</v>
      </c>
      <c r="B245" t="s">
        <v>254</v>
      </c>
      <c r="C245">
        <v>0</v>
      </c>
      <c r="D245" t="s">
        <v>80</v>
      </c>
      <c r="E245">
        <v>0.33826529355183999</v>
      </c>
      <c r="F245">
        <v>0.39414519408936299</v>
      </c>
      <c r="G245">
        <v>0.85822508716203305</v>
      </c>
      <c r="H245">
        <v>-0.44783250896624299</v>
      </c>
      <c r="I245">
        <v>1.12436309606992</v>
      </c>
      <c r="J245">
        <v>0.39369733044789101</v>
      </c>
    </row>
    <row r="246" spans="1:10" hidden="1" x14ac:dyDescent="0.2">
      <c r="A246" t="s">
        <v>78</v>
      </c>
      <c r="B246" t="s">
        <v>254</v>
      </c>
      <c r="C246">
        <v>0</v>
      </c>
      <c r="D246" t="s">
        <v>79</v>
      </c>
      <c r="E246">
        <v>0.41913803078260797</v>
      </c>
      <c r="F246">
        <v>1.1603320336032099</v>
      </c>
      <c r="G246">
        <v>0.36122249377279297</v>
      </c>
      <c r="H246">
        <v>-1.8950712390125699</v>
      </c>
      <c r="I246">
        <v>2.7333473005777802</v>
      </c>
      <c r="J246">
        <v>0.71902108681711796</v>
      </c>
    </row>
    <row r="247" spans="1:10" hidden="1" x14ac:dyDescent="0.2">
      <c r="A247" t="s">
        <v>78</v>
      </c>
      <c r="B247" t="s">
        <v>254</v>
      </c>
      <c r="C247">
        <v>1</v>
      </c>
      <c r="D247" t="s">
        <v>81</v>
      </c>
      <c r="E247">
        <v>-0.86548793456249995</v>
      </c>
      <c r="F247">
        <v>0.59114219217247099</v>
      </c>
      <c r="G247">
        <v>-1.46409433470109</v>
      </c>
      <c r="H247">
        <v>-2.0745094687089498</v>
      </c>
      <c r="I247">
        <v>0.34353359958394603</v>
      </c>
      <c r="J247">
        <v>0.15392487311372</v>
      </c>
    </row>
    <row r="248" spans="1:10" hidden="1" x14ac:dyDescent="0.2">
      <c r="A248" t="s">
        <v>78</v>
      </c>
      <c r="B248" t="s">
        <v>254</v>
      </c>
      <c r="C248">
        <v>1</v>
      </c>
      <c r="D248" t="s">
        <v>80</v>
      </c>
      <c r="E248">
        <v>-0.99774474833333404</v>
      </c>
      <c r="F248">
        <v>0.62638956892704101</v>
      </c>
      <c r="G248">
        <v>-1.5928501971104001</v>
      </c>
      <c r="H248">
        <v>-2.2788552622256399</v>
      </c>
      <c r="I248">
        <v>0.28336576555897602</v>
      </c>
      <c r="J248">
        <v>0.122036624802625</v>
      </c>
    </row>
    <row r="249" spans="1:10" hidden="1" x14ac:dyDescent="0.2">
      <c r="A249" t="s">
        <v>78</v>
      </c>
      <c r="B249" t="s">
        <v>254</v>
      </c>
      <c r="C249">
        <v>1</v>
      </c>
      <c r="D249" t="s">
        <v>79</v>
      </c>
      <c r="E249">
        <v>-1.0032997001999999</v>
      </c>
      <c r="F249">
        <v>0.68617539337455502</v>
      </c>
      <c r="G249">
        <v>-1.46216216711861</v>
      </c>
      <c r="H249">
        <v>-2.4066859544317101</v>
      </c>
      <c r="I249">
        <v>0.40008655403170701</v>
      </c>
      <c r="J249">
        <v>0.154450015289639</v>
      </c>
    </row>
    <row r="250" spans="1:10" hidden="1" x14ac:dyDescent="0.2">
      <c r="A250" t="s">
        <v>78</v>
      </c>
      <c r="B250" t="s">
        <v>255</v>
      </c>
      <c r="C250">
        <v>0</v>
      </c>
      <c r="D250" t="s">
        <v>81</v>
      </c>
      <c r="E250">
        <v>-0.25041323849588798</v>
      </c>
      <c r="F250">
        <v>0.19483990490971001</v>
      </c>
      <c r="G250">
        <v>-1.2852256246580001</v>
      </c>
      <c r="H250">
        <v>-0.63900917570178195</v>
      </c>
      <c r="I250">
        <v>0.13818269871000599</v>
      </c>
      <c r="J250">
        <v>0.20294958975019101</v>
      </c>
    </row>
    <row r="251" spans="1:10" hidden="1" x14ac:dyDescent="0.2">
      <c r="A251" t="s">
        <v>78</v>
      </c>
      <c r="B251" t="s">
        <v>255</v>
      </c>
      <c r="C251">
        <v>0</v>
      </c>
      <c r="D251" t="s">
        <v>80</v>
      </c>
      <c r="E251">
        <v>-0.34719964073913001</v>
      </c>
      <c r="F251">
        <v>0.254614258121513</v>
      </c>
      <c r="G251">
        <v>-1.3636299997521399</v>
      </c>
      <c r="H251">
        <v>-0.85501176632276299</v>
      </c>
      <c r="I251">
        <v>0.160612484844502</v>
      </c>
      <c r="J251">
        <v>0.17705341988329201</v>
      </c>
    </row>
    <row r="252" spans="1:10" hidden="1" x14ac:dyDescent="0.2">
      <c r="A252" t="s">
        <v>78</v>
      </c>
      <c r="B252" t="s">
        <v>255</v>
      </c>
      <c r="C252">
        <v>0</v>
      </c>
      <c r="D252" t="s">
        <v>79</v>
      </c>
      <c r="E252">
        <v>-1.41910699773913</v>
      </c>
      <c r="F252">
        <v>0.74956408029555699</v>
      </c>
      <c r="G252">
        <v>-1.89324306626268</v>
      </c>
      <c r="H252">
        <v>-2.9140654171312299</v>
      </c>
      <c r="I252">
        <v>7.5851421652967502E-2</v>
      </c>
      <c r="J252">
        <v>6.24595048071011E-2</v>
      </c>
    </row>
    <row r="253" spans="1:10" hidden="1" x14ac:dyDescent="0.2">
      <c r="A253" t="s">
        <v>78</v>
      </c>
      <c r="B253" t="s">
        <v>255</v>
      </c>
      <c r="C253">
        <v>1</v>
      </c>
      <c r="D253" t="s">
        <v>81</v>
      </c>
      <c r="E253">
        <v>0.39033213283333201</v>
      </c>
      <c r="F253">
        <v>0.950365196186435</v>
      </c>
      <c r="G253">
        <v>0.410718042284832</v>
      </c>
      <c r="H253">
        <v>-1.55338293725843</v>
      </c>
      <c r="I253">
        <v>2.33404720292509</v>
      </c>
      <c r="J253">
        <v>0.68429833353237901</v>
      </c>
    </row>
    <row r="254" spans="1:10" hidden="1" x14ac:dyDescent="0.2">
      <c r="A254" t="s">
        <v>78</v>
      </c>
      <c r="B254" t="s">
        <v>255</v>
      </c>
      <c r="C254">
        <v>1</v>
      </c>
      <c r="D254" t="s">
        <v>80</v>
      </c>
      <c r="E254">
        <v>1.21361909977778</v>
      </c>
      <c r="F254">
        <v>1.00703156270192</v>
      </c>
      <c r="G254">
        <v>1.20514504681618</v>
      </c>
      <c r="H254">
        <v>-0.84599170282340996</v>
      </c>
      <c r="I254">
        <v>3.2732299023789602</v>
      </c>
      <c r="J254">
        <v>0.237889736502294</v>
      </c>
    </row>
    <row r="255" spans="1:10" hidden="1" x14ac:dyDescent="0.2">
      <c r="A255" t="s">
        <v>78</v>
      </c>
      <c r="B255" t="s">
        <v>255</v>
      </c>
      <c r="C255">
        <v>1</v>
      </c>
      <c r="D255" t="s">
        <v>79</v>
      </c>
      <c r="E255">
        <v>0.64600710673333395</v>
      </c>
      <c r="F255">
        <v>1.10314780602304</v>
      </c>
      <c r="G255">
        <v>0.58560340074668205</v>
      </c>
      <c r="H255">
        <v>-1.6101834857986499</v>
      </c>
      <c r="I255">
        <v>2.90219769926532</v>
      </c>
      <c r="J255">
        <v>0.56267197018231296</v>
      </c>
    </row>
    <row r="256" spans="1:10" hidden="1" x14ac:dyDescent="0.2">
      <c r="A256" t="s">
        <v>78</v>
      </c>
      <c r="B256" t="s">
        <v>26</v>
      </c>
      <c r="C256">
        <v>0</v>
      </c>
      <c r="D256" t="s">
        <v>81</v>
      </c>
      <c r="E256">
        <v>-0.202217262311399</v>
      </c>
      <c r="F256">
        <v>0.35478119904425698</v>
      </c>
      <c r="G256">
        <v>-0.56997739129398906</v>
      </c>
      <c r="H256">
        <v>-0.90980605224394395</v>
      </c>
      <c r="I256">
        <v>0.50537152762114701</v>
      </c>
      <c r="J256">
        <v>0.57051789756641103</v>
      </c>
    </row>
    <row r="257" spans="1:10" hidden="1" x14ac:dyDescent="0.2">
      <c r="A257" t="s">
        <v>78</v>
      </c>
      <c r="B257" t="s">
        <v>26</v>
      </c>
      <c r="C257">
        <v>0</v>
      </c>
      <c r="D257" t="s">
        <v>80</v>
      </c>
      <c r="E257">
        <v>-0.338843973608695</v>
      </c>
      <c r="F257">
        <v>0.463623464772141</v>
      </c>
      <c r="G257">
        <v>-0.73086027639957496</v>
      </c>
      <c r="H257">
        <v>-1.2635118176381901</v>
      </c>
      <c r="I257">
        <v>0.58582387042080397</v>
      </c>
      <c r="J257">
        <v>0.467303831598677</v>
      </c>
    </row>
    <row r="258" spans="1:10" hidden="1" x14ac:dyDescent="0.2">
      <c r="A258" t="s">
        <v>78</v>
      </c>
      <c r="B258" t="s">
        <v>26</v>
      </c>
      <c r="C258">
        <v>0</v>
      </c>
      <c r="D258" t="s">
        <v>79</v>
      </c>
      <c r="E258">
        <v>-0.67667639160869497</v>
      </c>
      <c r="F258">
        <v>1.3648705242953101</v>
      </c>
      <c r="G258">
        <v>-0.49578064700171398</v>
      </c>
      <c r="H258">
        <v>-3.39882481802585</v>
      </c>
      <c r="I258">
        <v>2.0454720348084598</v>
      </c>
      <c r="J258">
        <v>0.62160219886735602</v>
      </c>
    </row>
    <row r="259" spans="1:10" hidden="1" x14ac:dyDescent="0.2">
      <c r="A259" t="s">
        <v>78</v>
      </c>
      <c r="B259" t="s">
        <v>26</v>
      </c>
      <c r="C259">
        <v>1</v>
      </c>
      <c r="D259" t="s">
        <v>81</v>
      </c>
      <c r="E259">
        <v>0.41776722577083297</v>
      </c>
      <c r="F259">
        <v>0.56393322585005101</v>
      </c>
      <c r="G259">
        <v>0.74080973885003298</v>
      </c>
      <c r="H259">
        <v>-0.73560572392120904</v>
      </c>
      <c r="I259">
        <v>1.57114017546287</v>
      </c>
      <c r="J259">
        <v>0.464765338101711</v>
      </c>
    </row>
    <row r="260" spans="1:10" hidden="1" x14ac:dyDescent="0.2">
      <c r="A260" t="s">
        <v>78</v>
      </c>
      <c r="B260" t="s">
        <v>26</v>
      </c>
      <c r="C260">
        <v>1</v>
      </c>
      <c r="D260" t="s">
        <v>80</v>
      </c>
      <c r="E260">
        <v>0.20233463977777699</v>
      </c>
      <c r="F260">
        <v>0.59755824388997003</v>
      </c>
      <c r="G260">
        <v>0.33860237365419699</v>
      </c>
      <c r="H260">
        <v>-1.0198091935267499</v>
      </c>
      <c r="I260">
        <v>1.4244784730823099</v>
      </c>
      <c r="J260">
        <v>0.73734872042061606</v>
      </c>
    </row>
    <row r="261" spans="1:10" hidden="1" x14ac:dyDescent="0.2">
      <c r="A261" t="s">
        <v>78</v>
      </c>
      <c r="B261" t="s">
        <v>26</v>
      </c>
      <c r="C261">
        <v>1</v>
      </c>
      <c r="D261" t="s">
        <v>79</v>
      </c>
      <c r="E261">
        <v>0.189576391533333</v>
      </c>
      <c r="F261">
        <v>0.65459225920342101</v>
      </c>
      <c r="G261">
        <v>0.28960988900790002</v>
      </c>
      <c r="H261">
        <v>-1.1492151005001201</v>
      </c>
      <c r="I261">
        <v>1.52836788356678</v>
      </c>
      <c r="J261">
        <v>0.77417526334175202</v>
      </c>
    </row>
    <row r="262" spans="1:10" hidden="1" x14ac:dyDescent="0.2">
      <c r="A262" t="s">
        <v>78</v>
      </c>
      <c r="B262" t="s">
        <v>17</v>
      </c>
      <c r="C262">
        <v>0</v>
      </c>
      <c r="D262" t="s">
        <v>81</v>
      </c>
      <c r="E262">
        <v>-0.40120213325852</v>
      </c>
      <c r="F262">
        <v>0.35446193774914497</v>
      </c>
      <c r="G262">
        <v>-1.13186238219589</v>
      </c>
      <c r="H262">
        <v>-1.1081541766157399</v>
      </c>
      <c r="I262">
        <v>0.305749910098703</v>
      </c>
      <c r="J262">
        <v>0.26155484345239999</v>
      </c>
    </row>
    <row r="263" spans="1:10" hidden="1" x14ac:dyDescent="0.2">
      <c r="A263" t="s">
        <v>78</v>
      </c>
      <c r="B263" t="s">
        <v>17</v>
      </c>
      <c r="C263">
        <v>0</v>
      </c>
      <c r="D263" t="s">
        <v>80</v>
      </c>
      <c r="E263">
        <v>-0.45437650113377898</v>
      </c>
      <c r="F263">
        <v>0.463206258256671</v>
      </c>
      <c r="G263">
        <v>-0.98093774217100604</v>
      </c>
      <c r="H263">
        <v>-1.3782122530055501</v>
      </c>
      <c r="I263">
        <v>0.46945925073799499</v>
      </c>
      <c r="J263">
        <v>0.33000168286109599</v>
      </c>
    </row>
    <row r="264" spans="1:10" hidden="1" x14ac:dyDescent="0.2">
      <c r="A264" t="s">
        <v>78</v>
      </c>
      <c r="B264" t="s">
        <v>17</v>
      </c>
      <c r="C264">
        <v>0</v>
      </c>
      <c r="D264" t="s">
        <v>79</v>
      </c>
      <c r="E264">
        <v>-1.0043717268260901</v>
      </c>
      <c r="F264">
        <v>1.36364230156981</v>
      </c>
      <c r="G264">
        <v>-0.73653605910425901</v>
      </c>
      <c r="H264">
        <v>-3.7240705402579901</v>
      </c>
      <c r="I264">
        <v>1.7153270866058099</v>
      </c>
      <c r="J264">
        <v>0.463865838191451</v>
      </c>
    </row>
    <row r="265" spans="1:10" hidden="1" x14ac:dyDescent="0.2">
      <c r="A265" t="s">
        <v>78</v>
      </c>
      <c r="B265" t="s">
        <v>17</v>
      </c>
      <c r="C265">
        <v>1</v>
      </c>
      <c r="D265" t="s">
        <v>81</v>
      </c>
      <c r="E265">
        <v>0.37029873022916698</v>
      </c>
      <c r="F265">
        <v>0.44824102100615598</v>
      </c>
      <c r="G265">
        <v>0.82611522122175696</v>
      </c>
      <c r="H265">
        <v>-0.54645709275245102</v>
      </c>
      <c r="I265">
        <v>1.28705455321078</v>
      </c>
      <c r="J265">
        <v>0.41548384926347198</v>
      </c>
    </row>
    <row r="266" spans="1:10" hidden="1" x14ac:dyDescent="0.2">
      <c r="A266" t="s">
        <v>78</v>
      </c>
      <c r="B266" t="s">
        <v>17</v>
      </c>
      <c r="C266">
        <v>1</v>
      </c>
      <c r="D266" t="s">
        <v>80</v>
      </c>
      <c r="E266">
        <v>0.36733920855555602</v>
      </c>
      <c r="F266">
        <v>0.47496778886921998</v>
      </c>
      <c r="G266">
        <v>0.77339814859887401</v>
      </c>
      <c r="H266">
        <v>-0.60407899229800099</v>
      </c>
      <c r="I266">
        <v>1.3387574094091099</v>
      </c>
      <c r="J266">
        <v>0.44554564687120701</v>
      </c>
    </row>
    <row r="267" spans="1:10" hidden="1" x14ac:dyDescent="0.2">
      <c r="A267" t="s">
        <v>78</v>
      </c>
      <c r="B267" t="s">
        <v>17</v>
      </c>
      <c r="C267">
        <v>1</v>
      </c>
      <c r="D267" t="s">
        <v>79</v>
      </c>
      <c r="E267">
        <v>0.32809059006666702</v>
      </c>
      <c r="F267">
        <v>0.52030114410404604</v>
      </c>
      <c r="G267">
        <v>0.63057825988761895</v>
      </c>
      <c r="H267">
        <v>-0.73604473269048798</v>
      </c>
      <c r="I267">
        <v>1.3922259128238199</v>
      </c>
      <c r="J267">
        <v>0.53325451037477201</v>
      </c>
    </row>
    <row r="268" spans="1:10" hidden="1" x14ac:dyDescent="0.2">
      <c r="A268" t="s">
        <v>78</v>
      </c>
      <c r="B268" t="s">
        <v>21</v>
      </c>
      <c r="C268">
        <v>0</v>
      </c>
      <c r="D268" t="s">
        <v>81</v>
      </c>
      <c r="E268">
        <v>-0.37046623296474801</v>
      </c>
      <c r="F268">
        <v>0.324829749721253</v>
      </c>
      <c r="G268">
        <v>-1.1404935455655101</v>
      </c>
      <c r="H268">
        <v>-1.01831874081616</v>
      </c>
      <c r="I268">
        <v>0.27738627488666501</v>
      </c>
      <c r="J268">
        <v>0.25796786544102102</v>
      </c>
    </row>
    <row r="269" spans="1:10" hidden="1" x14ac:dyDescent="0.2">
      <c r="A269" t="s">
        <v>78</v>
      </c>
      <c r="B269" t="s">
        <v>21</v>
      </c>
      <c r="C269">
        <v>0</v>
      </c>
      <c r="D269" t="s">
        <v>80</v>
      </c>
      <c r="E269">
        <v>-0.337137072939799</v>
      </c>
      <c r="F269">
        <v>0.42448329965773801</v>
      </c>
      <c r="G269">
        <v>-0.79422929762286099</v>
      </c>
      <c r="H269">
        <v>-1.18374231910428</v>
      </c>
      <c r="I269">
        <v>0.50946817322468196</v>
      </c>
      <c r="J269">
        <v>0.42974634430012298</v>
      </c>
    </row>
    <row r="270" spans="1:10" hidden="1" x14ac:dyDescent="0.2">
      <c r="A270" t="s">
        <v>78</v>
      </c>
      <c r="B270" t="s">
        <v>21</v>
      </c>
      <c r="C270">
        <v>0</v>
      </c>
      <c r="D270" t="s">
        <v>79</v>
      </c>
      <c r="E270">
        <v>-0.67921388047826303</v>
      </c>
      <c r="F270">
        <v>1.2496449981089699</v>
      </c>
      <c r="G270">
        <v>-0.54352546643733501</v>
      </c>
      <c r="H270">
        <v>-3.17155224124603</v>
      </c>
      <c r="I270">
        <v>1.8131244802895099</v>
      </c>
      <c r="J270">
        <v>0.58849489770778896</v>
      </c>
    </row>
    <row r="271" spans="1:10" hidden="1" x14ac:dyDescent="0.2">
      <c r="A271" t="s">
        <v>78</v>
      </c>
      <c r="B271" t="s">
        <v>21</v>
      </c>
      <c r="C271">
        <v>1</v>
      </c>
      <c r="D271" t="s">
        <v>81</v>
      </c>
      <c r="E271">
        <v>0.53130764652083295</v>
      </c>
      <c r="F271">
        <v>0.64210151288686101</v>
      </c>
      <c r="G271">
        <v>0.82745116754529502</v>
      </c>
      <c r="H271">
        <v>-0.78193740089362895</v>
      </c>
      <c r="I271">
        <v>1.8445526939353001</v>
      </c>
      <c r="J271">
        <v>0.41473875060947601</v>
      </c>
    </row>
    <row r="272" spans="1:10" hidden="1" x14ac:dyDescent="0.2">
      <c r="A272" t="s">
        <v>78</v>
      </c>
      <c r="B272" t="s">
        <v>21</v>
      </c>
      <c r="C272">
        <v>1</v>
      </c>
      <c r="D272" t="s">
        <v>80</v>
      </c>
      <c r="E272">
        <v>0.55773207833333405</v>
      </c>
      <c r="F272">
        <v>0.680387384271252</v>
      </c>
      <c r="G272">
        <v>0.81972724836852795</v>
      </c>
      <c r="H272">
        <v>-0.83381636811136495</v>
      </c>
      <c r="I272">
        <v>1.94928052477803</v>
      </c>
      <c r="J272">
        <v>0.41905810811795202</v>
      </c>
    </row>
    <row r="273" spans="1:10" hidden="1" x14ac:dyDescent="0.2">
      <c r="A273" t="s">
        <v>78</v>
      </c>
      <c r="B273" t="s">
        <v>21</v>
      </c>
      <c r="C273">
        <v>1</v>
      </c>
      <c r="D273" t="s">
        <v>79</v>
      </c>
      <c r="E273">
        <v>0.53881026733333404</v>
      </c>
      <c r="F273">
        <v>0.74532703641460096</v>
      </c>
      <c r="G273">
        <v>0.72291791523528204</v>
      </c>
      <c r="H273">
        <v>-0.98555468062472895</v>
      </c>
      <c r="I273">
        <v>2.0631752152914</v>
      </c>
      <c r="J273">
        <v>0.47552073858265698</v>
      </c>
    </row>
    <row r="274" spans="1:10" hidden="1" x14ac:dyDescent="0.2">
      <c r="A274" t="s">
        <v>78</v>
      </c>
      <c r="B274" t="s">
        <v>29</v>
      </c>
      <c r="C274">
        <v>0</v>
      </c>
      <c r="D274" t="s">
        <v>81</v>
      </c>
      <c r="E274">
        <v>0.258153036451234</v>
      </c>
      <c r="F274">
        <v>0.33354538353654201</v>
      </c>
      <c r="G274">
        <v>0.77396674993390202</v>
      </c>
      <c r="H274">
        <v>-0.40708225493400002</v>
      </c>
      <c r="I274">
        <v>0.92338832783646796</v>
      </c>
      <c r="J274">
        <v>0.44155662322027001</v>
      </c>
    </row>
    <row r="275" spans="1:10" hidden="1" x14ac:dyDescent="0.2">
      <c r="A275" t="s">
        <v>78</v>
      </c>
      <c r="B275" t="s">
        <v>29</v>
      </c>
      <c r="C275">
        <v>0</v>
      </c>
      <c r="D275" t="s">
        <v>80</v>
      </c>
      <c r="E275">
        <v>0.67324610947826102</v>
      </c>
      <c r="F275">
        <v>0.43587277677212599</v>
      </c>
      <c r="G275">
        <v>1.5445931596462901</v>
      </c>
      <c r="H275">
        <v>-0.196074732526825</v>
      </c>
      <c r="I275">
        <v>1.54256695148335</v>
      </c>
      <c r="J275">
        <v>0.126953876016765</v>
      </c>
    </row>
    <row r="276" spans="1:10" hidden="1" x14ac:dyDescent="0.2">
      <c r="A276" t="s">
        <v>78</v>
      </c>
      <c r="B276" t="s">
        <v>29</v>
      </c>
      <c r="C276">
        <v>0</v>
      </c>
      <c r="D276" t="s">
        <v>79</v>
      </c>
      <c r="E276">
        <v>0.44197095347825999</v>
      </c>
      <c r="F276">
        <v>1.2831747108645699</v>
      </c>
      <c r="G276">
        <v>0.34443552365559899</v>
      </c>
      <c r="H276">
        <v>-2.1172403107563</v>
      </c>
      <c r="I276">
        <v>3.0011822177128198</v>
      </c>
      <c r="J276">
        <v>0.73155142432751796</v>
      </c>
    </row>
    <row r="277" spans="1:10" hidden="1" x14ac:dyDescent="0.2">
      <c r="A277" t="s">
        <v>78</v>
      </c>
      <c r="B277" t="s">
        <v>29</v>
      </c>
      <c r="C277">
        <v>1</v>
      </c>
      <c r="D277" t="s">
        <v>81</v>
      </c>
      <c r="E277">
        <v>-0.49903471993749898</v>
      </c>
      <c r="F277">
        <v>0.36967956026064702</v>
      </c>
      <c r="G277">
        <v>-1.3499115817646199</v>
      </c>
      <c r="H277">
        <v>-1.25511431467316</v>
      </c>
      <c r="I277">
        <v>0.25704487479816002</v>
      </c>
      <c r="J277">
        <v>0.18748755625051899</v>
      </c>
    </row>
    <row r="278" spans="1:10" hidden="1" x14ac:dyDescent="0.2">
      <c r="A278" t="s">
        <v>78</v>
      </c>
      <c r="B278" t="s">
        <v>29</v>
      </c>
      <c r="C278">
        <v>1</v>
      </c>
      <c r="D278" t="s">
        <v>80</v>
      </c>
      <c r="E278">
        <v>-0.68948976277777696</v>
      </c>
      <c r="F278">
        <v>0.39172203144864298</v>
      </c>
      <c r="G278">
        <v>-1.7601505849133501</v>
      </c>
      <c r="H278">
        <v>-1.4906512729729799</v>
      </c>
      <c r="I278">
        <v>0.111671747417428</v>
      </c>
      <c r="J278">
        <v>8.89276304585295E-2</v>
      </c>
    </row>
    <row r="279" spans="1:10" hidden="1" x14ac:dyDescent="0.2">
      <c r="A279" t="s">
        <v>78</v>
      </c>
      <c r="B279" t="s">
        <v>29</v>
      </c>
      <c r="C279">
        <v>1</v>
      </c>
      <c r="D279" t="s">
        <v>79</v>
      </c>
      <c r="E279">
        <v>-0.91323009519999998</v>
      </c>
      <c r="F279">
        <v>0.42910998579234</v>
      </c>
      <c r="G279">
        <v>-2.1281958598883302</v>
      </c>
      <c r="H279">
        <v>-1.7908585578776399</v>
      </c>
      <c r="I279">
        <v>-3.5601632522361801E-2</v>
      </c>
      <c r="J279">
        <v>4.1943752280320101E-2</v>
      </c>
    </row>
    <row r="280" spans="1:10" hidden="1" x14ac:dyDescent="0.2">
      <c r="A280" t="s">
        <v>78</v>
      </c>
      <c r="B280" t="s">
        <v>18</v>
      </c>
      <c r="C280">
        <v>0</v>
      </c>
      <c r="D280" t="s">
        <v>81</v>
      </c>
      <c r="E280">
        <v>0.21452924634430101</v>
      </c>
      <c r="F280">
        <v>0.29799588938190102</v>
      </c>
      <c r="G280">
        <v>0.71990673022125995</v>
      </c>
      <c r="H280">
        <v>-0.37980481459422299</v>
      </c>
      <c r="I280">
        <v>0.80886330728282496</v>
      </c>
      <c r="J280">
        <v>0.47397935218097698</v>
      </c>
    </row>
    <row r="281" spans="1:10" hidden="1" x14ac:dyDescent="0.2">
      <c r="A281" t="s">
        <v>78</v>
      </c>
      <c r="B281" t="s">
        <v>18</v>
      </c>
      <c r="C281">
        <v>0</v>
      </c>
      <c r="D281" t="s">
        <v>80</v>
      </c>
      <c r="E281">
        <v>9.3885350541805801E-2</v>
      </c>
      <c r="F281">
        <v>0.38941715935138399</v>
      </c>
      <c r="G281">
        <v>0.24109197113497</v>
      </c>
      <c r="H281">
        <v>-0.68278268402910902</v>
      </c>
      <c r="I281">
        <v>0.87055338511271996</v>
      </c>
      <c r="J281">
        <v>0.81018862034195704</v>
      </c>
    </row>
    <row r="282" spans="1:10" hidden="1" x14ac:dyDescent="0.2">
      <c r="A282" t="s">
        <v>78</v>
      </c>
      <c r="B282" t="s">
        <v>18</v>
      </c>
      <c r="C282">
        <v>0</v>
      </c>
      <c r="D282" t="s">
        <v>79</v>
      </c>
      <c r="E282">
        <v>-0.34886535630434901</v>
      </c>
      <c r="F282">
        <v>1.1464130762120399</v>
      </c>
      <c r="G282">
        <v>-0.30431034288012898</v>
      </c>
      <c r="H282">
        <v>-2.6353141409214</v>
      </c>
      <c r="I282">
        <v>1.93758342831271</v>
      </c>
      <c r="J282">
        <v>0.76179429689179101</v>
      </c>
    </row>
    <row r="283" spans="1:10" hidden="1" x14ac:dyDescent="0.2">
      <c r="A283" t="s">
        <v>78</v>
      </c>
      <c r="B283" t="s">
        <v>18</v>
      </c>
      <c r="C283">
        <v>1</v>
      </c>
      <c r="D283" t="s">
        <v>81</v>
      </c>
      <c r="E283">
        <v>-0.27806979593749898</v>
      </c>
      <c r="F283">
        <v>0.390497452531338</v>
      </c>
      <c r="G283">
        <v>-0.71209119069780402</v>
      </c>
      <c r="H283">
        <v>-1.0767267610319</v>
      </c>
      <c r="I283">
        <v>0.52058716915690095</v>
      </c>
      <c r="J283">
        <v>0.48209826340795903</v>
      </c>
    </row>
    <row r="284" spans="1:10" hidden="1" x14ac:dyDescent="0.2">
      <c r="A284" t="s">
        <v>78</v>
      </c>
      <c r="B284" t="s">
        <v>18</v>
      </c>
      <c r="C284">
        <v>1</v>
      </c>
      <c r="D284" t="s">
        <v>80</v>
      </c>
      <c r="E284">
        <v>-0.87875076600000002</v>
      </c>
      <c r="F284">
        <v>0.413781208983383</v>
      </c>
      <c r="G284">
        <v>-2.12370873041576</v>
      </c>
      <c r="H284">
        <v>-1.72502835997032</v>
      </c>
      <c r="I284">
        <v>-3.24731720296784E-2</v>
      </c>
      <c r="J284">
        <v>4.2347992857110703E-2</v>
      </c>
    </row>
    <row r="285" spans="1:10" hidden="1" x14ac:dyDescent="0.2">
      <c r="A285" t="s">
        <v>78</v>
      </c>
      <c r="B285" t="s">
        <v>18</v>
      </c>
      <c r="C285">
        <v>1</v>
      </c>
      <c r="D285" t="s">
        <v>79</v>
      </c>
      <c r="E285">
        <v>-1.1953314196</v>
      </c>
      <c r="F285">
        <v>0.45327460406391601</v>
      </c>
      <c r="G285">
        <v>-2.6371021206196801</v>
      </c>
      <c r="H285">
        <v>-2.1223820758574901</v>
      </c>
      <c r="I285">
        <v>-0.26828076334251399</v>
      </c>
      <c r="J285">
        <v>1.3298002311296899E-2</v>
      </c>
    </row>
    <row r="286" spans="1:10" hidden="1" x14ac:dyDescent="0.2">
      <c r="A286" t="s">
        <v>78</v>
      </c>
      <c r="B286" t="s">
        <v>14</v>
      </c>
      <c r="C286">
        <v>0</v>
      </c>
      <c r="D286" t="s">
        <v>81</v>
      </c>
      <c r="E286">
        <v>-0.109175955459459</v>
      </c>
      <c r="F286">
        <v>0.29112184722988099</v>
      </c>
      <c r="G286">
        <v>-0.375018077476164</v>
      </c>
      <c r="H286">
        <v>-0.68980017162211604</v>
      </c>
      <c r="I286">
        <v>0.47144826070319701</v>
      </c>
      <c r="J286">
        <v>0.70878088650777704</v>
      </c>
    </row>
    <row r="287" spans="1:10" hidden="1" x14ac:dyDescent="0.2">
      <c r="A287" t="s">
        <v>78</v>
      </c>
      <c r="B287" t="s">
        <v>14</v>
      </c>
      <c r="C287">
        <v>0</v>
      </c>
      <c r="D287" t="s">
        <v>80</v>
      </c>
      <c r="E287">
        <v>0.259343830538461</v>
      </c>
      <c r="F287">
        <v>0.38043425031309702</v>
      </c>
      <c r="G287">
        <v>0.68170473695526002</v>
      </c>
      <c r="H287">
        <v>-0.49940835687482799</v>
      </c>
      <c r="I287">
        <v>1.01809601795175</v>
      </c>
      <c r="J287">
        <v>0.497675019869109</v>
      </c>
    </row>
    <row r="288" spans="1:10" hidden="1" x14ac:dyDescent="0.2">
      <c r="A288" t="s">
        <v>78</v>
      </c>
      <c r="B288" t="s">
        <v>14</v>
      </c>
      <c r="C288">
        <v>0</v>
      </c>
      <c r="D288" t="s">
        <v>79</v>
      </c>
      <c r="E288">
        <v>0.19641788800000001</v>
      </c>
      <c r="F288">
        <v>1.1199681080419901</v>
      </c>
      <c r="G288">
        <v>0.17537810817076899</v>
      </c>
      <c r="H288">
        <v>-2.0372880706791099</v>
      </c>
      <c r="I288">
        <v>2.43012384667911</v>
      </c>
      <c r="J288">
        <v>0.86128886477861999</v>
      </c>
    </row>
    <row r="289" spans="1:10" hidden="1" x14ac:dyDescent="0.2">
      <c r="A289" t="s">
        <v>78</v>
      </c>
      <c r="B289" t="s">
        <v>14</v>
      </c>
      <c r="C289">
        <v>1</v>
      </c>
      <c r="D289" t="s">
        <v>81</v>
      </c>
      <c r="E289">
        <v>-3.5274154354166198E-2</v>
      </c>
      <c r="F289">
        <v>0.43051490026503803</v>
      </c>
      <c r="G289">
        <v>-8.1934804887009494E-2</v>
      </c>
      <c r="H289">
        <v>-0.91577598975602603</v>
      </c>
      <c r="I289">
        <v>0.84522768104769297</v>
      </c>
      <c r="J289">
        <v>0.93526146101718999</v>
      </c>
    </row>
    <row r="290" spans="1:10" hidden="1" x14ac:dyDescent="0.2">
      <c r="A290" t="s">
        <v>78</v>
      </c>
      <c r="B290" t="s">
        <v>14</v>
      </c>
      <c r="C290">
        <v>1</v>
      </c>
      <c r="D290" t="s">
        <v>80</v>
      </c>
      <c r="E290">
        <v>-0.77214534611111096</v>
      </c>
      <c r="F290">
        <v>0.45618473247973801</v>
      </c>
      <c r="G290">
        <v>-1.6926154935389199</v>
      </c>
      <c r="H290">
        <v>-1.7051478832670499</v>
      </c>
      <c r="I290">
        <v>0.16085719104482801</v>
      </c>
      <c r="J290">
        <v>0.101247091769535</v>
      </c>
    </row>
    <row r="291" spans="1:10" hidden="1" x14ac:dyDescent="0.2">
      <c r="A291" t="s">
        <v>78</v>
      </c>
      <c r="B291" t="s">
        <v>14</v>
      </c>
      <c r="C291">
        <v>1</v>
      </c>
      <c r="D291" t="s">
        <v>79</v>
      </c>
      <c r="E291">
        <v>-0.79134801186666603</v>
      </c>
      <c r="F291">
        <v>0.49972533673722502</v>
      </c>
      <c r="G291">
        <v>-1.5835659184973201</v>
      </c>
      <c r="H291">
        <v>-1.8134010834863901</v>
      </c>
      <c r="I291">
        <v>0.230705059753053</v>
      </c>
      <c r="J291">
        <v>0.12413859812704001</v>
      </c>
    </row>
    <row r="292" spans="1:10" hidden="1" x14ac:dyDescent="0.2">
      <c r="A292" t="s">
        <v>23</v>
      </c>
      <c r="B292" t="s">
        <v>252</v>
      </c>
      <c r="C292">
        <v>0</v>
      </c>
      <c r="D292" t="s">
        <v>24</v>
      </c>
      <c r="E292">
        <v>1.4411287783328699</v>
      </c>
      <c r="F292">
        <v>1.47376079989689</v>
      </c>
      <c r="G292">
        <v>0.97785799326030498</v>
      </c>
      <c r="H292">
        <v>-1.4967596822360301</v>
      </c>
      <c r="I292">
        <v>4.3790172389017803</v>
      </c>
      <c r="J292">
        <v>0.33141879297875398</v>
      </c>
    </row>
    <row r="293" spans="1:10" hidden="1" x14ac:dyDescent="0.2">
      <c r="A293" t="s">
        <v>23</v>
      </c>
      <c r="B293" t="s">
        <v>252</v>
      </c>
      <c r="C293">
        <v>1</v>
      </c>
      <c r="D293" t="s">
        <v>24</v>
      </c>
      <c r="E293">
        <v>1.11735373785718E-2</v>
      </c>
      <c r="F293">
        <v>0.38643652462820799</v>
      </c>
      <c r="G293">
        <v>2.89142890655118E-2</v>
      </c>
      <c r="H293">
        <v>-0.77696895077935502</v>
      </c>
      <c r="I293">
        <v>0.79931602553649805</v>
      </c>
      <c r="J293">
        <v>0.97711829672343098</v>
      </c>
    </row>
    <row r="294" spans="1:10" hidden="1" x14ac:dyDescent="0.2">
      <c r="A294" t="s">
        <v>23</v>
      </c>
      <c r="B294" t="s">
        <v>253</v>
      </c>
      <c r="C294">
        <v>0</v>
      </c>
      <c r="D294" t="s">
        <v>24</v>
      </c>
      <c r="E294">
        <v>0.50545790276712299</v>
      </c>
      <c r="F294">
        <v>1.2547548499374599</v>
      </c>
      <c r="G294">
        <v>0.40283399007568499</v>
      </c>
      <c r="H294">
        <v>-1.9958501756754801</v>
      </c>
      <c r="I294">
        <v>3.0067659812097198</v>
      </c>
      <c r="J294">
        <v>0.68826398924757803</v>
      </c>
    </row>
    <row r="295" spans="1:10" hidden="1" x14ac:dyDescent="0.2">
      <c r="A295" t="s">
        <v>23</v>
      </c>
      <c r="B295" t="s">
        <v>253</v>
      </c>
      <c r="C295">
        <v>1</v>
      </c>
      <c r="D295" t="s">
        <v>24</v>
      </c>
      <c r="E295">
        <v>0.56770343383571398</v>
      </c>
      <c r="F295">
        <v>0.47631364023878198</v>
      </c>
      <c r="G295">
        <v>1.19186894070705</v>
      </c>
      <c r="H295">
        <v>-0.40374464013330402</v>
      </c>
      <c r="I295">
        <v>1.53915150780473</v>
      </c>
      <c r="J295">
        <v>0.242357362281716</v>
      </c>
    </row>
    <row r="296" spans="1:10" hidden="1" x14ac:dyDescent="0.2">
      <c r="A296" t="s">
        <v>23</v>
      </c>
      <c r="B296" t="s">
        <v>254</v>
      </c>
      <c r="C296">
        <v>0</v>
      </c>
      <c r="D296" t="s">
        <v>24</v>
      </c>
      <c r="E296">
        <v>-0.28634955669862799</v>
      </c>
      <c r="F296">
        <v>1.1336260539317</v>
      </c>
      <c r="G296">
        <v>-0.25259613230085498</v>
      </c>
      <c r="H296">
        <v>-2.5461917934301401</v>
      </c>
      <c r="I296">
        <v>1.97349268003288</v>
      </c>
      <c r="J296">
        <v>0.80130006196369097</v>
      </c>
    </row>
    <row r="297" spans="1:10" hidden="1" x14ac:dyDescent="0.2">
      <c r="A297" t="s">
        <v>23</v>
      </c>
      <c r="B297" t="s">
        <v>254</v>
      </c>
      <c r="C297">
        <v>1</v>
      </c>
      <c r="D297" t="s">
        <v>24</v>
      </c>
      <c r="E297">
        <v>0.188031497057144</v>
      </c>
      <c r="F297">
        <v>0.460884781664266</v>
      </c>
      <c r="G297">
        <v>0.40797940079114198</v>
      </c>
      <c r="H297">
        <v>-0.75194921238659995</v>
      </c>
      <c r="I297">
        <v>1.12801220650089</v>
      </c>
      <c r="J297">
        <v>0.68609296798481401</v>
      </c>
    </row>
    <row r="298" spans="1:10" hidden="1" x14ac:dyDescent="0.2">
      <c r="A298" t="s">
        <v>23</v>
      </c>
      <c r="B298" t="s">
        <v>255</v>
      </c>
      <c r="C298">
        <v>0</v>
      </c>
      <c r="D298" t="s">
        <v>24</v>
      </c>
      <c r="E298">
        <v>1.2303551463150699</v>
      </c>
      <c r="F298">
        <v>0.74078538185052401</v>
      </c>
      <c r="G298">
        <v>1.66087935380362</v>
      </c>
      <c r="H298">
        <v>-0.24637352311965399</v>
      </c>
      <c r="I298">
        <v>2.7070838157497898</v>
      </c>
      <c r="J298">
        <v>0.101086653939926</v>
      </c>
    </row>
    <row r="299" spans="1:10" hidden="1" x14ac:dyDescent="0.2">
      <c r="A299" t="s">
        <v>23</v>
      </c>
      <c r="B299" t="s">
        <v>255</v>
      </c>
      <c r="C299">
        <v>1</v>
      </c>
      <c r="D299" t="s">
        <v>24</v>
      </c>
      <c r="E299">
        <v>-3.2868320185711598E-2</v>
      </c>
      <c r="F299">
        <v>0.73650039947790202</v>
      </c>
      <c r="G299">
        <v>-4.4627701775873697E-2</v>
      </c>
      <c r="H299">
        <v>-1.5349707881972201</v>
      </c>
      <c r="I299">
        <v>1.4692341478258</v>
      </c>
      <c r="J299">
        <v>0.96469029986263499</v>
      </c>
    </row>
    <row r="300" spans="1:10" hidden="1" x14ac:dyDescent="0.2">
      <c r="A300" t="s">
        <v>23</v>
      </c>
      <c r="B300" t="s">
        <v>26</v>
      </c>
      <c r="C300">
        <v>0</v>
      </c>
      <c r="D300" t="s">
        <v>24</v>
      </c>
      <c r="E300">
        <v>0.51384063321917695</v>
      </c>
      <c r="F300">
        <v>1.33210433251213</v>
      </c>
      <c r="G300">
        <v>0.385736027335155</v>
      </c>
      <c r="H300">
        <v>-2.1416608206361798</v>
      </c>
      <c r="I300">
        <v>3.1693420870745399</v>
      </c>
      <c r="J300">
        <v>0.70082955958693105</v>
      </c>
    </row>
    <row r="301" spans="1:10" hidden="1" x14ac:dyDescent="0.2">
      <c r="A301" t="s">
        <v>23</v>
      </c>
      <c r="B301" t="s">
        <v>26</v>
      </c>
      <c r="C301">
        <v>1</v>
      </c>
      <c r="D301" t="s">
        <v>24</v>
      </c>
      <c r="E301">
        <v>0.114183871692858</v>
      </c>
      <c r="F301">
        <v>0.42608667141266199</v>
      </c>
      <c r="G301">
        <v>0.26798273533008898</v>
      </c>
      <c r="H301">
        <v>-0.75482562398355402</v>
      </c>
      <c r="I301">
        <v>0.98319336736926999</v>
      </c>
      <c r="J301">
        <v>0.79048774498846297</v>
      </c>
    </row>
    <row r="302" spans="1:10" hidden="1" x14ac:dyDescent="0.2">
      <c r="A302" t="s">
        <v>23</v>
      </c>
      <c r="B302" t="s">
        <v>17</v>
      </c>
      <c r="C302">
        <v>0</v>
      </c>
      <c r="D302" t="s">
        <v>24</v>
      </c>
      <c r="E302">
        <v>0.72010633716438199</v>
      </c>
      <c r="F302">
        <v>1.33972356629554</v>
      </c>
      <c r="G302">
        <v>0.53750367260877796</v>
      </c>
      <c r="H302">
        <v>-1.9505837816440901</v>
      </c>
      <c r="I302">
        <v>3.3907964559728501</v>
      </c>
      <c r="J302">
        <v>0.59257718892631295</v>
      </c>
    </row>
    <row r="303" spans="1:10" hidden="1" x14ac:dyDescent="0.2">
      <c r="A303" t="s">
        <v>23</v>
      </c>
      <c r="B303" t="s">
        <v>17</v>
      </c>
      <c r="C303">
        <v>1</v>
      </c>
      <c r="D303" t="s">
        <v>24</v>
      </c>
      <c r="E303">
        <v>1.5820013857157399E-3</v>
      </c>
      <c r="F303">
        <v>0.33867922221491997</v>
      </c>
      <c r="G303">
        <v>4.6710907606603101E-3</v>
      </c>
      <c r="H303">
        <v>-0.68915882633669101</v>
      </c>
      <c r="I303">
        <v>0.69232282910812304</v>
      </c>
      <c r="J303">
        <v>0.99630295302432703</v>
      </c>
    </row>
    <row r="304" spans="1:10" hidden="1" x14ac:dyDescent="0.2">
      <c r="A304" t="s">
        <v>23</v>
      </c>
      <c r="B304" t="s">
        <v>21</v>
      </c>
      <c r="C304">
        <v>0</v>
      </c>
      <c r="D304" t="s">
        <v>24</v>
      </c>
      <c r="E304">
        <v>0.43140521516438202</v>
      </c>
      <c r="F304">
        <v>1.2264131481395399</v>
      </c>
      <c r="G304">
        <v>0.35176173365298702</v>
      </c>
      <c r="H304">
        <v>-2.0134047133268802</v>
      </c>
      <c r="I304">
        <v>2.87621514365564</v>
      </c>
      <c r="J304">
        <v>0.72604437622164397</v>
      </c>
    </row>
    <row r="305" spans="1:11" hidden="1" x14ac:dyDescent="0.2">
      <c r="A305" t="s">
        <v>23</v>
      </c>
      <c r="B305" t="s">
        <v>21</v>
      </c>
      <c r="C305">
        <v>1</v>
      </c>
      <c r="D305" t="s">
        <v>24</v>
      </c>
      <c r="E305">
        <v>-5.5934872714283101E-2</v>
      </c>
      <c r="F305">
        <v>0.48545290032447003</v>
      </c>
      <c r="G305">
        <v>-0.115222038382914</v>
      </c>
      <c r="H305">
        <v>-1.0460225905181699</v>
      </c>
      <c r="I305">
        <v>0.93415284508960805</v>
      </c>
      <c r="J305">
        <v>0.90901225031085597</v>
      </c>
    </row>
    <row r="306" spans="1:11" hidden="1" x14ac:dyDescent="0.2">
      <c r="A306" t="s">
        <v>23</v>
      </c>
      <c r="B306" t="s">
        <v>29</v>
      </c>
      <c r="C306">
        <v>0</v>
      </c>
      <c r="D306" t="s">
        <v>24</v>
      </c>
      <c r="E306">
        <v>-0.19123312098629999</v>
      </c>
      <c r="F306">
        <v>1.2681385557321601</v>
      </c>
      <c r="G306">
        <v>-0.15079828629285</v>
      </c>
      <c r="H306">
        <v>-2.7192211293175701</v>
      </c>
      <c r="I306">
        <v>2.3367548873449699</v>
      </c>
      <c r="J306">
        <v>0.88055652666509399</v>
      </c>
    </row>
    <row r="307" spans="1:11" hidden="1" x14ac:dyDescent="0.2">
      <c r="A307" t="s">
        <v>23</v>
      </c>
      <c r="B307" t="s">
        <v>29</v>
      </c>
      <c r="C307">
        <v>1</v>
      </c>
      <c r="D307" t="s">
        <v>24</v>
      </c>
      <c r="E307">
        <v>0.406445688628571</v>
      </c>
      <c r="F307">
        <v>0.29031211402660601</v>
      </c>
      <c r="G307">
        <v>1.40003006760966</v>
      </c>
      <c r="H307">
        <v>-0.18564977158045901</v>
      </c>
      <c r="I307">
        <v>0.99854114883760103</v>
      </c>
      <c r="J307">
        <v>0.171433359586941</v>
      </c>
    </row>
    <row r="308" spans="1:11" hidden="1" x14ac:dyDescent="0.2">
      <c r="A308" t="s">
        <v>23</v>
      </c>
      <c r="B308" t="s">
        <v>18</v>
      </c>
      <c r="C308">
        <v>0</v>
      </c>
      <c r="D308" t="s">
        <v>24</v>
      </c>
      <c r="E308">
        <v>0.47431866687671098</v>
      </c>
      <c r="F308">
        <v>1.11834796907701</v>
      </c>
      <c r="G308">
        <v>0.42412440491859998</v>
      </c>
      <c r="H308">
        <v>-1.7550672643286001</v>
      </c>
      <c r="I308">
        <v>2.70370459808202</v>
      </c>
      <c r="J308">
        <v>0.67273962390368702</v>
      </c>
    </row>
    <row r="309" spans="1:11" hidden="1" x14ac:dyDescent="0.2">
      <c r="A309" t="s">
        <v>23</v>
      </c>
      <c r="B309" t="s">
        <v>18</v>
      </c>
      <c r="C309">
        <v>1</v>
      </c>
      <c r="D309" t="s">
        <v>24</v>
      </c>
      <c r="E309">
        <v>0.75397878999285595</v>
      </c>
      <c r="F309">
        <v>0.32515548465065802</v>
      </c>
      <c r="G309">
        <v>2.3188253791964102</v>
      </c>
      <c r="H309">
        <v>9.0819806878297493E-2</v>
      </c>
      <c r="I309">
        <v>1.41713777310741</v>
      </c>
      <c r="J309">
        <v>2.7167432771428301E-2</v>
      </c>
    </row>
    <row r="310" spans="1:11" hidden="1" x14ac:dyDescent="0.2">
      <c r="A310" t="s">
        <v>23</v>
      </c>
      <c r="B310" t="s">
        <v>14</v>
      </c>
      <c r="C310">
        <v>0</v>
      </c>
      <c r="D310" t="s">
        <v>24</v>
      </c>
      <c r="E310">
        <v>-0.20556912847945299</v>
      </c>
      <c r="F310">
        <v>1.09686684598415</v>
      </c>
      <c r="G310">
        <v>-0.187414843681421</v>
      </c>
      <c r="H310">
        <v>-2.3921332234281798</v>
      </c>
      <c r="I310">
        <v>1.9809949664692701</v>
      </c>
      <c r="J310">
        <v>0.85186253063388395</v>
      </c>
    </row>
    <row r="311" spans="1:11" hidden="1" x14ac:dyDescent="0.2">
      <c r="A311" t="s">
        <v>23</v>
      </c>
      <c r="B311" t="s">
        <v>14</v>
      </c>
      <c r="C311">
        <v>1</v>
      </c>
      <c r="D311" t="s">
        <v>24</v>
      </c>
      <c r="E311">
        <v>0.52300177670000003</v>
      </c>
      <c r="F311">
        <v>0.358984406447097</v>
      </c>
      <c r="G311">
        <v>1.45689274327038</v>
      </c>
      <c r="H311">
        <v>-0.20915174729548799</v>
      </c>
      <c r="I311">
        <v>1.2551553006954901</v>
      </c>
      <c r="J311">
        <v>0.15520148052704499</v>
      </c>
    </row>
    <row r="312" spans="1:11" x14ac:dyDescent="0.2">
      <c r="A312" s="112" t="s">
        <v>226</v>
      </c>
      <c r="B312" s="138" t="s">
        <v>252</v>
      </c>
      <c r="C312" s="42" t="s">
        <v>66</v>
      </c>
      <c r="D312" s="42" t="s">
        <v>258</v>
      </c>
      <c r="E312" s="42">
        <v>-0.207100799997016</v>
      </c>
      <c r="F312" s="42">
        <v>0.28496710799779401</v>
      </c>
      <c r="G312" s="42">
        <v>-0.72675334866583796</v>
      </c>
      <c r="H312" s="42">
        <v>-0.77213793426424404</v>
      </c>
      <c r="I312" s="42">
        <v>0.35793633427021199</v>
      </c>
      <c r="J312" s="42">
        <v>0.46899420709862699</v>
      </c>
      <c r="K312" s="42"/>
    </row>
    <row r="313" spans="1:11" x14ac:dyDescent="0.2">
      <c r="A313" s="156" t="s">
        <v>226</v>
      </c>
      <c r="B313" s="145" t="s">
        <v>252</v>
      </c>
      <c r="C313" s="159" t="s">
        <v>64</v>
      </c>
      <c r="D313" s="77" t="s">
        <v>258</v>
      </c>
      <c r="E313" s="77">
        <v>-0.222824871178809</v>
      </c>
      <c r="F313" s="77">
        <v>0.43654530107962197</v>
      </c>
      <c r="G313" s="77">
        <v>-0.51042783103549705</v>
      </c>
      <c r="H313" s="77">
        <v>-1.0930620240784701</v>
      </c>
      <c r="I313" s="77">
        <v>0.64741228172085397</v>
      </c>
      <c r="J313" s="77">
        <v>0.61131314454269003</v>
      </c>
      <c r="K313" s="77"/>
    </row>
    <row r="314" spans="1:11" x14ac:dyDescent="0.2">
      <c r="A314" s="156" t="s">
        <v>226</v>
      </c>
      <c r="B314" s="145" t="s">
        <v>252</v>
      </c>
      <c r="C314" s="159" t="s">
        <v>65</v>
      </c>
      <c r="D314" s="77" t="s">
        <v>258</v>
      </c>
      <c r="E314" s="77">
        <v>-6.4759270909774402E-2</v>
      </c>
      <c r="F314" s="77">
        <v>0.28011292630887602</v>
      </c>
      <c r="G314" s="77">
        <v>-0.23118986961124899</v>
      </c>
      <c r="H314" s="77">
        <v>-0.63605335062617296</v>
      </c>
      <c r="I314" s="77">
        <v>0.50653480880662405</v>
      </c>
      <c r="J314" s="77">
        <v>0.81868645442030996</v>
      </c>
      <c r="K314" s="77"/>
    </row>
    <row r="315" spans="1:11" x14ac:dyDescent="0.2">
      <c r="A315" s="112" t="s">
        <v>226</v>
      </c>
      <c r="B315" s="139" t="s">
        <v>253</v>
      </c>
      <c r="C315" s="42" t="s">
        <v>66</v>
      </c>
      <c r="D315" s="42" t="s">
        <v>258</v>
      </c>
      <c r="E315" s="42">
        <v>5.6703584959313198E-3</v>
      </c>
      <c r="F315" s="42">
        <v>0.25710137519179199</v>
      </c>
      <c r="G315" s="42">
        <v>2.20549520270024E-2</v>
      </c>
      <c r="H315" s="42">
        <v>-0.504114175148066</v>
      </c>
      <c r="I315" s="42">
        <v>0.51545489213992901</v>
      </c>
      <c r="J315" s="42">
        <v>0.98244597883442497</v>
      </c>
      <c r="K315" s="42"/>
    </row>
    <row r="316" spans="1:11" x14ac:dyDescent="0.2">
      <c r="A316" s="156" t="s">
        <v>226</v>
      </c>
      <c r="B316" s="146" t="s">
        <v>253</v>
      </c>
      <c r="C316" s="159" t="s">
        <v>64</v>
      </c>
      <c r="D316" s="77" t="s">
        <v>258</v>
      </c>
      <c r="E316" s="77">
        <v>9.2420794047615195E-4</v>
      </c>
      <c r="F316" s="77">
        <v>0.37031347195196501</v>
      </c>
      <c r="G316" s="77">
        <v>2.4957448499093099E-3</v>
      </c>
      <c r="H316" s="77">
        <v>-0.73728220663982802</v>
      </c>
      <c r="I316" s="77">
        <v>0.73913062252078099</v>
      </c>
      <c r="J316" s="77">
        <v>0.99801558788630895</v>
      </c>
      <c r="K316" s="77"/>
    </row>
    <row r="317" spans="1:11" x14ac:dyDescent="0.2">
      <c r="A317" s="156" t="s">
        <v>226</v>
      </c>
      <c r="B317" s="146" t="s">
        <v>253</v>
      </c>
      <c r="C317" s="159" t="s">
        <v>65</v>
      </c>
      <c r="D317" s="77" t="s">
        <v>258</v>
      </c>
      <c r="E317" s="77">
        <v>-4.9202480112781902E-2</v>
      </c>
      <c r="F317" s="77">
        <v>0.35327242212288601</v>
      </c>
      <c r="G317" s="77">
        <v>-0.13927631207982299</v>
      </c>
      <c r="H317" s="77">
        <v>-0.76970633527343701</v>
      </c>
      <c r="I317" s="77">
        <v>0.67130137504787302</v>
      </c>
      <c r="J317" s="77">
        <v>0.89013271370182501</v>
      </c>
      <c r="K317" s="77"/>
    </row>
    <row r="318" spans="1:11" x14ac:dyDescent="0.2">
      <c r="A318" s="112" t="s">
        <v>226</v>
      </c>
      <c r="B318" s="140" t="s">
        <v>254</v>
      </c>
      <c r="C318" s="42" t="s">
        <v>66</v>
      </c>
      <c r="D318" s="42" t="s">
        <v>258</v>
      </c>
      <c r="E318" s="42">
        <v>4.3228861565099398E-2</v>
      </c>
      <c r="F318" s="42">
        <v>0.23456342378057299</v>
      </c>
      <c r="G318" s="42">
        <v>0.18429498030152699</v>
      </c>
      <c r="H318" s="42">
        <v>-0.421867077780682</v>
      </c>
      <c r="I318" s="42">
        <v>0.50832480091088095</v>
      </c>
      <c r="J318" s="42">
        <v>0.85413751811222305</v>
      </c>
      <c r="K318" s="42"/>
    </row>
    <row r="319" spans="1:11" x14ac:dyDescent="0.2">
      <c r="A319" s="156" t="s">
        <v>226</v>
      </c>
      <c r="B319" s="147" t="s">
        <v>254</v>
      </c>
      <c r="C319" s="159" t="s">
        <v>64</v>
      </c>
      <c r="D319" s="77" t="s">
        <v>258</v>
      </c>
      <c r="E319" s="77">
        <v>0.25577342110714202</v>
      </c>
      <c r="F319" s="77">
        <v>0.33297502278288799</v>
      </c>
      <c r="G319" s="77">
        <v>0.76814596773499</v>
      </c>
      <c r="H319" s="77">
        <v>-0.40800015541895301</v>
      </c>
      <c r="I319" s="77">
        <v>0.919546997633237</v>
      </c>
      <c r="J319" s="77">
        <v>0.444912570804681</v>
      </c>
      <c r="K319" s="77"/>
    </row>
    <row r="320" spans="1:11" x14ac:dyDescent="0.2">
      <c r="A320" s="156" t="s">
        <v>226</v>
      </c>
      <c r="B320" s="147" t="s">
        <v>254</v>
      </c>
      <c r="C320" s="159" t="s">
        <v>65</v>
      </c>
      <c r="D320" s="77" t="s">
        <v>258</v>
      </c>
      <c r="E320" s="77">
        <v>-0.27089671481954902</v>
      </c>
      <c r="F320" s="77">
        <v>0.33170810003547901</v>
      </c>
      <c r="G320" s="77">
        <v>-0.81667199200313301</v>
      </c>
      <c r="H320" s="77">
        <v>-0.94741984512051303</v>
      </c>
      <c r="I320" s="77">
        <v>0.40562641548141498</v>
      </c>
      <c r="J320" s="77">
        <v>0.42034780461969301</v>
      </c>
      <c r="K320" s="77"/>
    </row>
    <row r="321" spans="1:11" x14ac:dyDescent="0.2">
      <c r="A321" s="112" t="s">
        <v>226</v>
      </c>
      <c r="B321" s="141" t="s">
        <v>255</v>
      </c>
      <c r="C321" s="42" t="s">
        <v>66</v>
      </c>
      <c r="D321" s="42" t="s">
        <v>258</v>
      </c>
      <c r="E321" s="42">
        <v>0.21501559182640101</v>
      </c>
      <c r="F321" s="42">
        <v>0.229210368972321</v>
      </c>
      <c r="G321" s="42">
        <v>0.93807096419955305</v>
      </c>
      <c r="H321" s="42">
        <v>-0.23946622868411599</v>
      </c>
      <c r="I321" s="42">
        <v>0.66949741233691695</v>
      </c>
      <c r="J321" s="42">
        <v>0.35036074074823698</v>
      </c>
      <c r="K321" s="42"/>
    </row>
    <row r="322" spans="1:11" x14ac:dyDescent="0.2">
      <c r="A322" s="156" t="s">
        <v>226</v>
      </c>
      <c r="B322" s="148" t="s">
        <v>255</v>
      </c>
      <c r="C322" s="159" t="s">
        <v>64</v>
      </c>
      <c r="D322" s="77" t="s">
        <v>258</v>
      </c>
      <c r="E322" s="77">
        <v>-0.269342954880952</v>
      </c>
      <c r="F322" s="77">
        <v>0.220249129647934</v>
      </c>
      <c r="G322" s="77">
        <v>-1.22290133591671</v>
      </c>
      <c r="H322" s="77">
        <v>-0.70840157042309604</v>
      </c>
      <c r="I322" s="77">
        <v>0.16971566066119201</v>
      </c>
      <c r="J322" s="77">
        <v>0.22535470207372599</v>
      </c>
      <c r="K322" s="77"/>
    </row>
    <row r="323" spans="1:11" x14ac:dyDescent="0.2">
      <c r="A323" s="156" t="s">
        <v>226</v>
      </c>
      <c r="B323" s="148" t="s">
        <v>255</v>
      </c>
      <c r="C323" s="159" t="s">
        <v>65</v>
      </c>
      <c r="D323" s="77" t="s">
        <v>258</v>
      </c>
      <c r="E323" s="77">
        <v>0.68219978739473697</v>
      </c>
      <c r="F323" s="77">
        <v>0.520092796881648</v>
      </c>
      <c r="G323" s="77">
        <v>1.31168858996903</v>
      </c>
      <c r="H323" s="77">
        <v>-0.37853646521930001</v>
      </c>
      <c r="I323" s="77">
        <v>1.7429360400087699</v>
      </c>
      <c r="J323" s="77">
        <v>0.19925688108336301</v>
      </c>
      <c r="K323" s="77"/>
    </row>
    <row r="324" spans="1:11" hidden="1" x14ac:dyDescent="0.2">
      <c r="A324" s="112" t="s">
        <v>226</v>
      </c>
      <c r="B324" s="129" t="s">
        <v>26</v>
      </c>
      <c r="C324" s="42" t="s">
        <v>66</v>
      </c>
      <c r="D324" s="42" t="s">
        <v>258</v>
      </c>
      <c r="E324" s="42">
        <v>-0.20337251201310999</v>
      </c>
      <c r="F324" s="42">
        <v>0.26237365217735098</v>
      </c>
      <c r="G324" s="42">
        <v>-0.77512551403462104</v>
      </c>
      <c r="H324" s="42">
        <v>-0.72361099699175102</v>
      </c>
      <c r="I324" s="42">
        <v>0.31686597296553098</v>
      </c>
      <c r="J324" s="42">
        <v>0.44000764987594698</v>
      </c>
      <c r="K324" s="42"/>
    </row>
    <row r="325" spans="1:11" hidden="1" x14ac:dyDescent="0.2">
      <c r="A325" s="156" t="s">
        <v>226</v>
      </c>
      <c r="B325" s="150" t="s">
        <v>26</v>
      </c>
      <c r="C325" s="159" t="s">
        <v>64</v>
      </c>
      <c r="D325" s="77" t="s">
        <v>258</v>
      </c>
      <c r="E325" s="77">
        <v>-0.238274215516666</v>
      </c>
      <c r="F325" s="77">
        <v>0.39210052692883002</v>
      </c>
      <c r="G325" s="77">
        <v>-0.60768654758761698</v>
      </c>
      <c r="H325" s="77">
        <v>-1.0199123304182101</v>
      </c>
      <c r="I325" s="77">
        <v>0.54336389938487895</v>
      </c>
      <c r="J325" s="77">
        <v>0.54530736953824899</v>
      </c>
      <c r="K325" s="77"/>
    </row>
    <row r="326" spans="1:11" hidden="1" x14ac:dyDescent="0.2">
      <c r="A326" s="156" t="s">
        <v>226</v>
      </c>
      <c r="B326" s="150" t="s">
        <v>26</v>
      </c>
      <c r="C326" s="159" t="s">
        <v>65</v>
      </c>
      <c r="D326" s="77" t="s">
        <v>258</v>
      </c>
      <c r="E326" s="77">
        <v>-0.15402585704887201</v>
      </c>
      <c r="F326" s="77">
        <v>0.308234686180897</v>
      </c>
      <c r="G326" s="77">
        <v>-0.49970319355452802</v>
      </c>
      <c r="H326" s="77">
        <v>-0.78267464416058996</v>
      </c>
      <c r="I326" s="77">
        <v>0.47462293006284501</v>
      </c>
      <c r="J326" s="77">
        <v>0.62081255174779504</v>
      </c>
      <c r="K326" s="77"/>
    </row>
    <row r="327" spans="1:11" hidden="1" x14ac:dyDescent="0.2">
      <c r="A327" s="112" t="s">
        <v>226</v>
      </c>
      <c r="B327" s="128" t="s">
        <v>17</v>
      </c>
      <c r="C327" s="42" t="s">
        <v>66</v>
      </c>
      <c r="D327" s="42" t="s">
        <v>258</v>
      </c>
      <c r="E327" s="42">
        <v>-0.113519056638336</v>
      </c>
      <c r="F327" s="42">
        <v>0.256510805704314</v>
      </c>
      <c r="G327" s="42">
        <v>-0.44255077803307902</v>
      </c>
      <c r="H327" s="42">
        <v>-0.62213260008232396</v>
      </c>
      <c r="I327" s="42">
        <v>0.39509448680565101</v>
      </c>
      <c r="J327" s="42">
        <v>0.65900100130684203</v>
      </c>
      <c r="K327" s="42"/>
    </row>
    <row r="328" spans="1:11" hidden="1" x14ac:dyDescent="0.2">
      <c r="A328" s="156" t="s">
        <v>226</v>
      </c>
      <c r="B328" s="151" t="s">
        <v>17</v>
      </c>
      <c r="C328" s="159" t="s">
        <v>64</v>
      </c>
      <c r="D328" s="77" t="s">
        <v>258</v>
      </c>
      <c r="E328" s="77">
        <v>-0.24625389222142799</v>
      </c>
      <c r="F328" s="77">
        <v>0.39467135402630399</v>
      </c>
      <c r="G328" s="77">
        <v>-0.62394670834158406</v>
      </c>
      <c r="H328" s="77">
        <v>-1.0330168572779701</v>
      </c>
      <c r="I328" s="77">
        <v>0.54050907283511895</v>
      </c>
      <c r="J328" s="77">
        <v>0.53463451344599899</v>
      </c>
      <c r="K328" s="77"/>
    </row>
    <row r="329" spans="1:11" hidden="1" x14ac:dyDescent="0.2">
      <c r="A329" s="156" t="s">
        <v>226</v>
      </c>
      <c r="B329" s="151" t="s">
        <v>17</v>
      </c>
      <c r="C329" s="159" t="s">
        <v>65</v>
      </c>
      <c r="D329" s="77" t="s">
        <v>258</v>
      </c>
      <c r="E329" s="77">
        <v>4.1491335142857098E-2</v>
      </c>
      <c r="F329" s="77">
        <v>0.24559078406073701</v>
      </c>
      <c r="G329" s="77">
        <v>0.16894500052817901</v>
      </c>
      <c r="H329" s="77">
        <v>-0.459394371260052</v>
      </c>
      <c r="I329" s="77">
        <v>0.54237704154576605</v>
      </c>
      <c r="J329" s="77">
        <v>0.86693746427289797</v>
      </c>
      <c r="K329" s="77"/>
    </row>
    <row r="330" spans="1:11" hidden="1" x14ac:dyDescent="0.2">
      <c r="A330" s="112" t="s">
        <v>226</v>
      </c>
      <c r="B330" s="124" t="s">
        <v>21</v>
      </c>
      <c r="C330" s="42" t="s">
        <v>66</v>
      </c>
      <c r="D330" s="42" t="s">
        <v>258</v>
      </c>
      <c r="E330" s="42">
        <v>1.13844916957507E-2</v>
      </c>
      <c r="F330" s="42">
        <v>0.25275986576409598</v>
      </c>
      <c r="G330" s="42">
        <v>4.50407411846626E-2</v>
      </c>
      <c r="H330" s="42">
        <v>-0.48979163074368398</v>
      </c>
      <c r="I330" s="42">
        <v>0.51256061413518605</v>
      </c>
      <c r="J330" s="42">
        <v>0.96416038349418798</v>
      </c>
      <c r="K330" s="42"/>
    </row>
    <row r="331" spans="1:11" hidden="1" x14ac:dyDescent="0.2">
      <c r="A331" s="156" t="s">
        <v>226</v>
      </c>
      <c r="B331" s="152" t="s">
        <v>21</v>
      </c>
      <c r="C331" s="159" t="s">
        <v>64</v>
      </c>
      <c r="D331" s="77" t="s">
        <v>258</v>
      </c>
      <c r="E331" s="77">
        <v>-0.13311695362619</v>
      </c>
      <c r="F331" s="77">
        <v>0.36151215628591099</v>
      </c>
      <c r="G331" s="77">
        <v>-0.36822262076551399</v>
      </c>
      <c r="H331" s="77">
        <v>-0.85377826608752705</v>
      </c>
      <c r="I331" s="77">
        <v>0.587544358835147</v>
      </c>
      <c r="J331" s="77">
        <v>0.71378764040618203</v>
      </c>
      <c r="K331" s="77"/>
    </row>
    <row r="332" spans="1:11" hidden="1" x14ac:dyDescent="0.2">
      <c r="A332" s="156" t="s">
        <v>226</v>
      </c>
      <c r="B332" s="152" t="s">
        <v>21</v>
      </c>
      <c r="C332" s="159" t="s">
        <v>65</v>
      </c>
      <c r="D332" s="77" t="s">
        <v>258</v>
      </c>
      <c r="E332" s="77">
        <v>0.103557323199248</v>
      </c>
      <c r="F332" s="77">
        <v>0.35176858409558898</v>
      </c>
      <c r="G332" s="77">
        <v>0.29439048249717398</v>
      </c>
      <c r="H332" s="77">
        <v>-0.61387943408353096</v>
      </c>
      <c r="I332" s="77">
        <v>0.82099408048202704</v>
      </c>
      <c r="J332" s="77">
        <v>0.77042189508946401</v>
      </c>
      <c r="K332" s="77"/>
    </row>
    <row r="333" spans="1:11" x14ac:dyDescent="0.2">
      <c r="A333" s="112" t="s">
        <v>226</v>
      </c>
      <c r="B333" s="142" t="s">
        <v>29</v>
      </c>
      <c r="C333" s="42" t="s">
        <v>66</v>
      </c>
      <c r="D333" s="42" t="s">
        <v>258</v>
      </c>
      <c r="E333" s="42">
        <v>4.3898888935352598E-2</v>
      </c>
      <c r="F333" s="42">
        <v>0.24373001186764801</v>
      </c>
      <c r="G333" s="42">
        <v>0.18011277560348599</v>
      </c>
      <c r="H333" s="42">
        <v>-0.43937270127806899</v>
      </c>
      <c r="I333" s="42">
        <v>0.52717047914877402</v>
      </c>
      <c r="J333" s="42">
        <v>0.85741118589628995</v>
      </c>
      <c r="K333" s="42"/>
    </row>
    <row r="334" spans="1:11" x14ac:dyDescent="0.2">
      <c r="A334" s="156" t="s">
        <v>226</v>
      </c>
      <c r="B334" s="154" t="s">
        <v>29</v>
      </c>
      <c r="C334" s="159" t="s">
        <v>64</v>
      </c>
      <c r="D334" s="77" t="s">
        <v>258</v>
      </c>
      <c r="E334" s="77">
        <v>0.49753208299999901</v>
      </c>
      <c r="F334" s="77">
        <v>0.36927524998764899</v>
      </c>
      <c r="G334" s="77">
        <v>1.34732041483051</v>
      </c>
      <c r="H334" s="77">
        <v>-0.23860467392033399</v>
      </c>
      <c r="I334" s="77">
        <v>1.2336688399203299</v>
      </c>
      <c r="J334" s="77">
        <v>0.18210193998560101</v>
      </c>
      <c r="K334" s="77"/>
    </row>
    <row r="335" spans="1:11" x14ac:dyDescent="0.2">
      <c r="A335" s="156" t="s">
        <v>226</v>
      </c>
      <c r="B335" s="154" t="s">
        <v>29</v>
      </c>
      <c r="C335" s="159" t="s">
        <v>65</v>
      </c>
      <c r="D335" s="77" t="s">
        <v>258</v>
      </c>
      <c r="E335" s="77">
        <v>-0.34915726019924798</v>
      </c>
      <c r="F335" s="77">
        <v>0.20791969940129901</v>
      </c>
      <c r="G335" s="77">
        <v>-1.6792889812973</v>
      </c>
      <c r="H335" s="77">
        <v>-0.77321228289889699</v>
      </c>
      <c r="I335" s="77">
        <v>7.4897762500400894E-2</v>
      </c>
      <c r="J335" s="77">
        <v>0.1031488788081</v>
      </c>
      <c r="K335" s="77"/>
    </row>
    <row r="336" spans="1:11" hidden="1" x14ac:dyDescent="0.2">
      <c r="A336" s="112" t="s">
        <v>226</v>
      </c>
      <c r="B336" s="118" t="s">
        <v>18</v>
      </c>
      <c r="C336" s="41" t="s">
        <v>66</v>
      </c>
      <c r="D336" s="41" t="s">
        <v>258</v>
      </c>
      <c r="E336" s="41">
        <v>-0.43419679691184399</v>
      </c>
      <c r="F336" s="41">
        <v>0.21981798472413999</v>
      </c>
      <c r="G336" s="41">
        <v>-1.9752560167301001</v>
      </c>
      <c r="H336" s="41">
        <v>-0.87005525447771503</v>
      </c>
      <c r="I336" s="41">
        <v>1.66166065402795E-3</v>
      </c>
      <c r="J336" s="41">
        <v>5.08638506875837E-2</v>
      </c>
      <c r="K336" s="41" t="s">
        <v>200</v>
      </c>
    </row>
    <row r="337" spans="1:11" hidden="1" x14ac:dyDescent="0.2">
      <c r="A337" s="156" t="s">
        <v>226</v>
      </c>
      <c r="B337" s="155" t="s">
        <v>18</v>
      </c>
      <c r="C337" s="159" t="s">
        <v>64</v>
      </c>
      <c r="D337" s="77" t="s">
        <v>258</v>
      </c>
      <c r="E337" s="77">
        <v>-7.0032735192856896E-2</v>
      </c>
      <c r="F337" s="77">
        <v>0.32999304084258702</v>
      </c>
      <c r="G337" s="77">
        <v>-0.21222488514921101</v>
      </c>
      <c r="H337" s="77">
        <v>-0.72786183936451698</v>
      </c>
      <c r="I337" s="77">
        <v>0.58779636897880305</v>
      </c>
      <c r="J337" s="77">
        <v>0.83253125195750799</v>
      </c>
      <c r="K337" s="77"/>
    </row>
    <row r="338" spans="1:11" hidden="1" x14ac:dyDescent="0.2">
      <c r="A338" s="156" t="s">
        <v>226</v>
      </c>
      <c r="B338" s="155" t="s">
        <v>18</v>
      </c>
      <c r="C338" s="160" t="s">
        <v>65</v>
      </c>
      <c r="D338" s="149" t="s">
        <v>258</v>
      </c>
      <c r="E338" s="149">
        <v>-0.75765124645864601</v>
      </c>
      <c r="F338" s="149">
        <v>0.216286198949314</v>
      </c>
      <c r="G338" s="149">
        <v>-3.50300319733392</v>
      </c>
      <c r="H338" s="149">
        <v>-1.1987698574857399</v>
      </c>
      <c r="I338" s="149">
        <v>-0.31653263543155202</v>
      </c>
      <c r="J338" s="149">
        <v>1.4215521643032099E-3</v>
      </c>
      <c r="K338" s="149" t="s">
        <v>61</v>
      </c>
    </row>
    <row r="339" spans="1:11" hidden="1" x14ac:dyDescent="0.2">
      <c r="A339" s="112" t="s">
        <v>226</v>
      </c>
      <c r="B339" s="120" t="s">
        <v>14</v>
      </c>
      <c r="C339" s="42" t="s">
        <v>66</v>
      </c>
      <c r="D339" s="42" t="s">
        <v>258</v>
      </c>
      <c r="E339" s="42">
        <v>-0.22130735316455699</v>
      </c>
      <c r="F339" s="42">
        <v>0.221402680511156</v>
      </c>
      <c r="G339" s="42">
        <v>-0.99956943905837403</v>
      </c>
      <c r="H339" s="42">
        <v>-0.66030796974124195</v>
      </c>
      <c r="I339" s="42">
        <v>0.217693263412129</v>
      </c>
      <c r="J339" s="42">
        <v>0.31981691803754903</v>
      </c>
      <c r="K339" s="42"/>
    </row>
    <row r="340" spans="1:11" hidden="1" x14ac:dyDescent="0.2">
      <c r="A340" s="156" t="s">
        <v>226</v>
      </c>
      <c r="B340" s="121" t="s">
        <v>14</v>
      </c>
      <c r="C340" s="159" t="s">
        <v>64</v>
      </c>
      <c r="D340" s="77" t="s">
        <v>258</v>
      </c>
      <c r="E340" s="77">
        <v>0.322174292890476</v>
      </c>
      <c r="F340" s="77">
        <v>0.32119461006947198</v>
      </c>
      <c r="G340" s="77">
        <v>1.0030501222321</v>
      </c>
      <c r="H340" s="77">
        <v>-0.31811546009118202</v>
      </c>
      <c r="I340" s="77">
        <v>0.96246404587213397</v>
      </c>
      <c r="J340" s="77">
        <v>0.31919586276427803</v>
      </c>
      <c r="K340" s="77"/>
    </row>
    <row r="341" spans="1:11" hidden="1" x14ac:dyDescent="0.2">
      <c r="A341" s="156" t="s">
        <v>226</v>
      </c>
      <c r="B341" s="121" t="s">
        <v>14</v>
      </c>
      <c r="C341" s="160" t="s">
        <v>65</v>
      </c>
      <c r="D341" s="149" t="s">
        <v>258</v>
      </c>
      <c r="E341" s="149">
        <v>-0.74929888998872196</v>
      </c>
      <c r="F341" s="149">
        <v>0.23315005385006399</v>
      </c>
      <c r="G341" s="149">
        <v>-3.21380534816684</v>
      </c>
      <c r="H341" s="149">
        <v>-1.2248115598439699</v>
      </c>
      <c r="I341" s="149">
        <v>-0.27378622013346998</v>
      </c>
      <c r="J341" s="149">
        <v>3.0532235320976302E-3</v>
      </c>
      <c r="K341" s="149" t="s">
        <v>61</v>
      </c>
    </row>
    <row r="342" spans="1:11" hidden="1" x14ac:dyDescent="0.2">
      <c r="A342" t="s">
        <v>85</v>
      </c>
      <c r="B342" t="s">
        <v>252</v>
      </c>
      <c r="C342">
        <v>0</v>
      </c>
      <c r="D342" t="s">
        <v>183</v>
      </c>
      <c r="E342">
        <v>-0.63753048599302198</v>
      </c>
      <c r="F342">
        <v>0.40803157852609301</v>
      </c>
      <c r="G342">
        <v>-1.5624537892285999</v>
      </c>
      <c r="H342">
        <v>-1.45132380898004</v>
      </c>
      <c r="I342">
        <v>0.176262836993996</v>
      </c>
      <c r="J342">
        <v>0.12269108027872801</v>
      </c>
    </row>
    <row r="343" spans="1:11" hidden="1" x14ac:dyDescent="0.2">
      <c r="A343" t="s">
        <v>85</v>
      </c>
      <c r="B343" t="s">
        <v>252</v>
      </c>
      <c r="C343">
        <v>0</v>
      </c>
      <c r="D343" t="s">
        <v>104</v>
      </c>
      <c r="E343">
        <v>0.41741143997049102</v>
      </c>
      <c r="F343">
        <v>0.37348551262866397</v>
      </c>
      <c r="G343">
        <v>1.11761079307379</v>
      </c>
      <c r="H343">
        <v>-0.32748192712500201</v>
      </c>
      <c r="I343">
        <v>1.1623048070659801</v>
      </c>
      <c r="J343">
        <v>0.26755439204626902</v>
      </c>
    </row>
    <row r="344" spans="1:11" hidden="1" x14ac:dyDescent="0.2">
      <c r="A344" t="s">
        <v>85</v>
      </c>
      <c r="B344" t="s">
        <v>252</v>
      </c>
      <c r="C344">
        <v>0</v>
      </c>
      <c r="D344" t="s">
        <v>103</v>
      </c>
      <c r="E344">
        <v>-0.18534111996754599</v>
      </c>
      <c r="F344">
        <v>0.33539989149147997</v>
      </c>
      <c r="G344">
        <v>-0.55259743568597397</v>
      </c>
      <c r="H344">
        <v>-0.85427511084218199</v>
      </c>
      <c r="I344">
        <v>0.48359287090709002</v>
      </c>
      <c r="J344">
        <v>0.58229942371837196</v>
      </c>
    </row>
    <row r="345" spans="1:11" hidden="1" x14ac:dyDescent="0.2">
      <c r="A345" t="s">
        <v>85</v>
      </c>
      <c r="B345" t="s">
        <v>252</v>
      </c>
      <c r="C345">
        <v>1</v>
      </c>
      <c r="D345" t="s">
        <v>183</v>
      </c>
      <c r="E345">
        <v>-7.4980716065916594E-2</v>
      </c>
      <c r="F345">
        <v>0.29249303839042701</v>
      </c>
      <c r="G345">
        <v>-0.25635042966674199</v>
      </c>
      <c r="H345">
        <v>-0.67319614829947605</v>
      </c>
      <c r="I345">
        <v>0.52323471616764305</v>
      </c>
      <c r="J345">
        <v>0.79949010324980296</v>
      </c>
    </row>
    <row r="346" spans="1:11" hidden="1" x14ac:dyDescent="0.2">
      <c r="A346" t="s">
        <v>85</v>
      </c>
      <c r="B346" t="s">
        <v>252</v>
      </c>
      <c r="C346">
        <v>1</v>
      </c>
      <c r="D346" t="s">
        <v>104</v>
      </c>
      <c r="E346">
        <v>-0.483471964696429</v>
      </c>
      <c r="F346">
        <v>0.27976980023458697</v>
      </c>
      <c r="G346">
        <v>-1.72810633703508</v>
      </c>
      <c r="H346">
        <v>-1.05566545310975</v>
      </c>
      <c r="I346">
        <v>8.8721523716893694E-2</v>
      </c>
      <c r="J346">
        <v>9.4605185872046998E-2</v>
      </c>
    </row>
    <row r="347" spans="1:11" hidden="1" x14ac:dyDescent="0.2">
      <c r="A347" t="s">
        <v>85</v>
      </c>
      <c r="B347" t="s">
        <v>252</v>
      </c>
      <c r="C347">
        <v>1</v>
      </c>
      <c r="D347" t="s">
        <v>103</v>
      </c>
      <c r="E347">
        <v>-0.106703416518955</v>
      </c>
      <c r="F347">
        <v>0.26643968311747002</v>
      </c>
      <c r="G347">
        <v>-0.40047869472923298</v>
      </c>
      <c r="H347">
        <v>-0.65163375427124903</v>
      </c>
      <c r="I347">
        <v>0.43822692123334001</v>
      </c>
      <c r="J347">
        <v>0.69173909303940695</v>
      </c>
    </row>
    <row r="348" spans="1:11" hidden="1" x14ac:dyDescent="0.2">
      <c r="A348" t="s">
        <v>85</v>
      </c>
      <c r="B348" t="s">
        <v>253</v>
      </c>
      <c r="C348">
        <v>0</v>
      </c>
      <c r="D348" t="s">
        <v>183</v>
      </c>
      <c r="E348">
        <v>-0.43885847952627199</v>
      </c>
      <c r="F348">
        <v>0.34426268408205701</v>
      </c>
      <c r="G348">
        <v>-1.27477795247093</v>
      </c>
      <c r="H348">
        <v>-1.12546875285749</v>
      </c>
      <c r="I348">
        <v>0.247751793804941</v>
      </c>
      <c r="J348">
        <v>0.20660310304091301</v>
      </c>
    </row>
    <row r="349" spans="1:11" hidden="1" x14ac:dyDescent="0.2">
      <c r="A349" t="s">
        <v>85</v>
      </c>
      <c r="B349" t="s">
        <v>253</v>
      </c>
      <c r="C349">
        <v>0</v>
      </c>
      <c r="D349" t="s">
        <v>104</v>
      </c>
      <c r="E349">
        <v>0.31488620819769197</v>
      </c>
      <c r="F349">
        <v>0.31511562293231798</v>
      </c>
      <c r="G349">
        <v>0.99927196648490002</v>
      </c>
      <c r="H349">
        <v>-0.313592084677419</v>
      </c>
      <c r="I349">
        <v>0.94336450107280201</v>
      </c>
      <c r="J349">
        <v>0.32110480901717497</v>
      </c>
    </row>
    <row r="350" spans="1:11" hidden="1" x14ac:dyDescent="0.2">
      <c r="A350" t="s">
        <v>85</v>
      </c>
      <c r="B350" t="s">
        <v>253</v>
      </c>
      <c r="C350">
        <v>0</v>
      </c>
      <c r="D350" t="s">
        <v>103</v>
      </c>
      <c r="E350">
        <v>-0.36323233908985503</v>
      </c>
      <c r="F350">
        <v>0.282982183150571</v>
      </c>
      <c r="G350">
        <v>-1.2835873094405501</v>
      </c>
      <c r="H350">
        <v>-0.92762250713538497</v>
      </c>
      <c r="I350">
        <v>0.20115782895567499</v>
      </c>
      <c r="J350">
        <v>0.20351930340302199</v>
      </c>
    </row>
    <row r="351" spans="1:11" hidden="1" x14ac:dyDescent="0.2">
      <c r="A351" t="s">
        <v>85</v>
      </c>
      <c r="B351" t="s">
        <v>253</v>
      </c>
      <c r="C351">
        <v>1</v>
      </c>
      <c r="D351" t="s">
        <v>183</v>
      </c>
      <c r="E351">
        <v>-9.64034093669075E-3</v>
      </c>
      <c r="F351">
        <v>0.35308663198788598</v>
      </c>
      <c r="G351">
        <v>-2.7303047080585899E-2</v>
      </c>
      <c r="H351">
        <v>-0.73178358691911605</v>
      </c>
      <c r="I351">
        <v>0.71250290504573499</v>
      </c>
      <c r="J351">
        <v>0.97840505077947404</v>
      </c>
    </row>
    <row r="352" spans="1:11" hidden="1" x14ac:dyDescent="0.2">
      <c r="A352" t="s">
        <v>85</v>
      </c>
      <c r="B352" t="s">
        <v>253</v>
      </c>
      <c r="C352">
        <v>1</v>
      </c>
      <c r="D352" t="s">
        <v>104</v>
      </c>
      <c r="E352">
        <v>-0.65220475794642896</v>
      </c>
      <c r="F352">
        <v>0.33772761581045302</v>
      </c>
      <c r="G352">
        <v>-1.9311561371175401</v>
      </c>
      <c r="H352">
        <v>-1.34293528876877</v>
      </c>
      <c r="I352">
        <v>3.8525772875914098E-2</v>
      </c>
      <c r="J352">
        <v>6.3290852179526305E-2</v>
      </c>
    </row>
    <row r="353" spans="1:10" hidden="1" x14ac:dyDescent="0.2">
      <c r="A353" t="s">
        <v>85</v>
      </c>
      <c r="B353" t="s">
        <v>253</v>
      </c>
      <c r="C353">
        <v>1</v>
      </c>
      <c r="D353" t="s">
        <v>103</v>
      </c>
      <c r="E353">
        <v>0.371402565279222</v>
      </c>
      <c r="F353">
        <v>0.32163599809952298</v>
      </c>
      <c r="G353">
        <v>1.1547294689455101</v>
      </c>
      <c r="H353">
        <v>-0.286416912010861</v>
      </c>
      <c r="I353">
        <v>1.0292220425692999</v>
      </c>
      <c r="J353">
        <v>0.25762802714322602</v>
      </c>
    </row>
    <row r="354" spans="1:10" hidden="1" x14ac:dyDescent="0.2">
      <c r="A354" t="s">
        <v>85</v>
      </c>
      <c r="B354" t="s">
        <v>254</v>
      </c>
      <c r="C354">
        <v>0</v>
      </c>
      <c r="D354" t="s">
        <v>183</v>
      </c>
      <c r="E354">
        <v>8.8951157911936803E-3</v>
      </c>
      <c r="F354">
        <v>0.31571766144784102</v>
      </c>
      <c r="G354">
        <v>2.81742736545109E-2</v>
      </c>
      <c r="H354">
        <v>-0.62078390504199099</v>
      </c>
      <c r="I354">
        <v>0.63857413662437901</v>
      </c>
      <c r="J354">
        <v>0.97760332658801796</v>
      </c>
    </row>
    <row r="355" spans="1:10" hidden="1" x14ac:dyDescent="0.2">
      <c r="A355" t="s">
        <v>85</v>
      </c>
      <c r="B355" t="s">
        <v>254</v>
      </c>
      <c r="C355">
        <v>0</v>
      </c>
      <c r="D355" t="s">
        <v>104</v>
      </c>
      <c r="E355">
        <v>0.364125658973666</v>
      </c>
      <c r="F355">
        <v>0.288987369697489</v>
      </c>
      <c r="G355">
        <v>1.2600054436802299</v>
      </c>
      <c r="H355">
        <v>-0.212241475984145</v>
      </c>
      <c r="I355">
        <v>0.940492793931477</v>
      </c>
      <c r="J355">
        <v>0.21185191938454201</v>
      </c>
    </row>
    <row r="356" spans="1:10" hidden="1" x14ac:dyDescent="0.2">
      <c r="A356" t="s">
        <v>85</v>
      </c>
      <c r="B356" t="s">
        <v>254</v>
      </c>
      <c r="C356">
        <v>0</v>
      </c>
      <c r="D356" t="s">
        <v>103</v>
      </c>
      <c r="E356">
        <v>-0.22039088970779899</v>
      </c>
      <c r="F356">
        <v>0.25951831908220302</v>
      </c>
      <c r="G356">
        <v>-0.84923056872139002</v>
      </c>
      <c r="H356">
        <v>-0.73798385646982101</v>
      </c>
      <c r="I356">
        <v>0.29720207705422402</v>
      </c>
      <c r="J356">
        <v>0.39864804157021699</v>
      </c>
    </row>
    <row r="357" spans="1:10" hidden="1" x14ac:dyDescent="0.2">
      <c r="A357" t="s">
        <v>85</v>
      </c>
      <c r="B357" t="s">
        <v>254</v>
      </c>
      <c r="C357">
        <v>1</v>
      </c>
      <c r="D357" t="s">
        <v>183</v>
      </c>
      <c r="E357">
        <v>-0.14993633805327999</v>
      </c>
      <c r="F357">
        <v>0.36291640828270599</v>
      </c>
      <c r="G357">
        <v>-0.41314290186759101</v>
      </c>
      <c r="H357">
        <v>-0.89218373388940497</v>
      </c>
      <c r="I357">
        <v>0.59231105778284399</v>
      </c>
      <c r="J357">
        <v>0.68254090818011603</v>
      </c>
    </row>
    <row r="358" spans="1:10" hidden="1" x14ac:dyDescent="0.2">
      <c r="A358" t="s">
        <v>85</v>
      </c>
      <c r="B358" t="s">
        <v>254</v>
      </c>
      <c r="C358">
        <v>1</v>
      </c>
      <c r="D358" t="s">
        <v>104</v>
      </c>
      <c r="E358">
        <v>0.28079846610119102</v>
      </c>
      <c r="F358">
        <v>0.34712980386075998</v>
      </c>
      <c r="G358">
        <v>0.80891488710610404</v>
      </c>
      <c r="H358">
        <v>-0.42916169842254698</v>
      </c>
      <c r="I358">
        <v>0.99075863062492797</v>
      </c>
      <c r="J358">
        <v>0.42515115647643198</v>
      </c>
    </row>
    <row r="359" spans="1:10" hidden="1" x14ac:dyDescent="0.2">
      <c r="A359" t="s">
        <v>85</v>
      </c>
      <c r="B359" t="s">
        <v>254</v>
      </c>
      <c r="C359">
        <v>1</v>
      </c>
      <c r="D359" t="s">
        <v>103</v>
      </c>
      <c r="E359">
        <v>9.4747911627396E-2</v>
      </c>
      <c r="F359">
        <v>0.33059020260134703</v>
      </c>
      <c r="G359">
        <v>0.28660229759334699</v>
      </c>
      <c r="H359">
        <v>-0.58138497013153401</v>
      </c>
      <c r="I359">
        <v>0.77088079338632598</v>
      </c>
      <c r="J359">
        <v>0.77645453630752403</v>
      </c>
    </row>
    <row r="360" spans="1:10" hidden="1" x14ac:dyDescent="0.2">
      <c r="A360" t="s">
        <v>85</v>
      </c>
      <c r="B360" t="s">
        <v>255</v>
      </c>
      <c r="C360">
        <v>0</v>
      </c>
      <c r="D360" t="s">
        <v>183</v>
      </c>
      <c r="E360">
        <v>-5.6118582812013901E-2</v>
      </c>
      <c r="F360">
        <v>0.211970600752135</v>
      </c>
      <c r="G360">
        <v>-0.26474701025938702</v>
      </c>
      <c r="H360">
        <v>-0.47888061555650502</v>
      </c>
      <c r="I360">
        <v>0.36664344993247699</v>
      </c>
      <c r="J360">
        <v>0.79198236536913602</v>
      </c>
    </row>
    <row r="361" spans="1:10" hidden="1" x14ac:dyDescent="0.2">
      <c r="A361" t="s">
        <v>85</v>
      </c>
      <c r="B361" t="s">
        <v>255</v>
      </c>
      <c r="C361">
        <v>0</v>
      </c>
      <c r="D361" t="s">
        <v>104</v>
      </c>
      <c r="E361">
        <v>0.23150703631710001</v>
      </c>
      <c r="F361">
        <v>0.19402407227913701</v>
      </c>
      <c r="G361">
        <v>1.19318718341319</v>
      </c>
      <c r="H361">
        <v>-0.15546177401338601</v>
      </c>
      <c r="I361">
        <v>0.61847584664758504</v>
      </c>
      <c r="J361">
        <v>0.23682456408508601</v>
      </c>
    </row>
    <row r="362" spans="1:10" hidden="1" x14ac:dyDescent="0.2">
      <c r="A362" t="s">
        <v>85</v>
      </c>
      <c r="B362" t="s">
        <v>255</v>
      </c>
      <c r="C362">
        <v>0</v>
      </c>
      <c r="D362" t="s">
        <v>103</v>
      </c>
      <c r="E362">
        <v>-4.9350013373717201E-2</v>
      </c>
      <c r="F362">
        <v>0.17423876051079601</v>
      </c>
      <c r="G362">
        <v>-0.28323211912804802</v>
      </c>
      <c r="H362">
        <v>-0.39685826364546001</v>
      </c>
      <c r="I362">
        <v>0.29815823689802601</v>
      </c>
      <c r="J362">
        <v>0.777834856346443</v>
      </c>
    </row>
    <row r="363" spans="1:10" hidden="1" x14ac:dyDescent="0.2">
      <c r="A363" t="s">
        <v>85</v>
      </c>
      <c r="B363" t="s">
        <v>255</v>
      </c>
      <c r="C363">
        <v>1</v>
      </c>
      <c r="D363" t="s">
        <v>183</v>
      </c>
      <c r="E363">
        <v>5.9204051640651199E-2</v>
      </c>
      <c r="F363">
        <v>0.554291878554382</v>
      </c>
      <c r="G363">
        <v>0.10681024552453799</v>
      </c>
      <c r="H363">
        <v>-1.0744501287721899</v>
      </c>
      <c r="I363">
        <v>1.19285823205349</v>
      </c>
      <c r="J363">
        <v>0.91567500466405205</v>
      </c>
    </row>
    <row r="364" spans="1:10" hidden="1" x14ac:dyDescent="0.2">
      <c r="A364" t="s">
        <v>85</v>
      </c>
      <c r="B364" t="s">
        <v>255</v>
      </c>
      <c r="C364">
        <v>1</v>
      </c>
      <c r="D364" t="s">
        <v>104</v>
      </c>
      <c r="E364">
        <v>-0.98856312255952505</v>
      </c>
      <c r="F364">
        <v>0.53018057793162499</v>
      </c>
      <c r="G364">
        <v>-1.864578152629</v>
      </c>
      <c r="H364">
        <v>-2.0729041562283301</v>
      </c>
      <c r="I364">
        <v>9.5777911109282896E-2</v>
      </c>
      <c r="J364">
        <v>7.2390843333296095E-2</v>
      </c>
    </row>
    <row r="365" spans="1:10" hidden="1" x14ac:dyDescent="0.2">
      <c r="A365" t="s">
        <v>85</v>
      </c>
      <c r="B365" t="s">
        <v>255</v>
      </c>
      <c r="C365">
        <v>1</v>
      </c>
      <c r="D365" t="s">
        <v>103</v>
      </c>
      <c r="E365">
        <v>-0.186170843422611</v>
      </c>
      <c r="F365">
        <v>0.50491920522047695</v>
      </c>
      <c r="G365">
        <v>-0.368714125938858</v>
      </c>
      <c r="H365">
        <v>-1.2188465688216199</v>
      </c>
      <c r="I365">
        <v>0.84650488197639395</v>
      </c>
      <c r="J365">
        <v>0.71501902975913301</v>
      </c>
    </row>
    <row r="366" spans="1:10" hidden="1" x14ac:dyDescent="0.2">
      <c r="A366" t="s">
        <v>85</v>
      </c>
      <c r="B366" t="s">
        <v>26</v>
      </c>
      <c r="C366">
        <v>0</v>
      </c>
      <c r="D366" t="s">
        <v>183</v>
      </c>
      <c r="E366">
        <v>-0.60214491042857199</v>
      </c>
      <c r="F366">
        <v>0.36543058315009502</v>
      </c>
      <c r="G366">
        <v>-1.64776824434875</v>
      </c>
      <c r="H366">
        <v>-1.33097322723931</v>
      </c>
      <c r="I366">
        <v>0.12668340638216299</v>
      </c>
      <c r="J366">
        <v>0.10388217530197</v>
      </c>
    </row>
    <row r="367" spans="1:10" hidden="1" x14ac:dyDescent="0.2">
      <c r="A367" t="s">
        <v>85</v>
      </c>
      <c r="B367" t="s">
        <v>26</v>
      </c>
      <c r="C367">
        <v>0</v>
      </c>
      <c r="D367" t="s">
        <v>104</v>
      </c>
      <c r="E367">
        <v>0.41415035357936503</v>
      </c>
      <c r="F367">
        <v>0.33449133807489601</v>
      </c>
      <c r="G367">
        <v>1.23814971102969</v>
      </c>
      <c r="H367">
        <v>-0.25297158464321001</v>
      </c>
      <c r="I367">
        <v>1.08127229180194</v>
      </c>
      <c r="J367">
        <v>0.21979705245716699</v>
      </c>
    </row>
    <row r="368" spans="1:10" hidden="1" x14ac:dyDescent="0.2">
      <c r="A368" t="s">
        <v>85</v>
      </c>
      <c r="B368" t="s">
        <v>26</v>
      </c>
      <c r="C368">
        <v>0</v>
      </c>
      <c r="D368" t="s">
        <v>103</v>
      </c>
      <c r="E368">
        <v>-0.13016126157935601</v>
      </c>
      <c r="F368">
        <v>0.300382089001409</v>
      </c>
      <c r="G368">
        <v>-0.43331898387172402</v>
      </c>
      <c r="H368">
        <v>-0.72925444759512104</v>
      </c>
      <c r="I368">
        <v>0.46893192443640902</v>
      </c>
      <c r="J368">
        <v>0.66611542885490105</v>
      </c>
    </row>
    <row r="369" spans="1:10" hidden="1" x14ac:dyDescent="0.2">
      <c r="A369" t="s">
        <v>85</v>
      </c>
      <c r="B369" t="s">
        <v>26</v>
      </c>
      <c r="C369">
        <v>1</v>
      </c>
      <c r="D369" t="s">
        <v>183</v>
      </c>
      <c r="E369">
        <v>0.18073803307592801</v>
      </c>
      <c r="F369">
        <v>0.32404350954375699</v>
      </c>
      <c r="G369">
        <v>0.55775853474245296</v>
      </c>
      <c r="H369">
        <v>-0.482005357983676</v>
      </c>
      <c r="I369">
        <v>0.84348142413553195</v>
      </c>
      <c r="J369">
        <v>0.58128976932246501</v>
      </c>
    </row>
    <row r="370" spans="1:10" hidden="1" x14ac:dyDescent="0.2">
      <c r="A370" t="s">
        <v>85</v>
      </c>
      <c r="B370" t="s">
        <v>26</v>
      </c>
      <c r="C370">
        <v>1</v>
      </c>
      <c r="D370" t="s">
        <v>104</v>
      </c>
      <c r="E370">
        <v>-0.48520634363690501</v>
      </c>
      <c r="F370">
        <v>0.30994784843856499</v>
      </c>
      <c r="G370">
        <v>-1.5654451098184601</v>
      </c>
      <c r="H370">
        <v>-1.1191208707787099</v>
      </c>
      <c r="I370">
        <v>0.148708183504903</v>
      </c>
      <c r="J370">
        <v>0.12832677611170601</v>
      </c>
    </row>
    <row r="371" spans="1:10" hidden="1" x14ac:dyDescent="0.2">
      <c r="A371" t="s">
        <v>85</v>
      </c>
      <c r="B371" t="s">
        <v>26</v>
      </c>
      <c r="C371">
        <v>1</v>
      </c>
      <c r="D371" t="s">
        <v>103</v>
      </c>
      <c r="E371">
        <v>-0.19416167769276599</v>
      </c>
      <c r="F371">
        <v>0.29517984590069302</v>
      </c>
      <c r="G371">
        <v>-0.65777416849146098</v>
      </c>
      <c r="H371">
        <v>-0.79787224828902603</v>
      </c>
      <c r="I371">
        <v>0.409548892903495</v>
      </c>
      <c r="J371">
        <v>0.51587096552404499</v>
      </c>
    </row>
    <row r="372" spans="1:10" hidden="1" x14ac:dyDescent="0.2">
      <c r="A372" t="s">
        <v>85</v>
      </c>
      <c r="B372" t="s">
        <v>17</v>
      </c>
      <c r="C372">
        <v>0</v>
      </c>
      <c r="D372" t="s">
        <v>183</v>
      </c>
      <c r="E372">
        <v>-0.73432764438771603</v>
      </c>
      <c r="F372">
        <v>0.36198565133819799</v>
      </c>
      <c r="G372">
        <v>-2.0286098127730599</v>
      </c>
      <c r="H372">
        <v>-1.4562852613452799</v>
      </c>
      <c r="I372">
        <v>-1.2370027430149101E-2</v>
      </c>
      <c r="J372">
        <v>4.6303801692277401E-2</v>
      </c>
    </row>
    <row r="373" spans="1:10" hidden="1" x14ac:dyDescent="0.2">
      <c r="A373" t="s">
        <v>85</v>
      </c>
      <c r="B373" t="s">
        <v>17</v>
      </c>
      <c r="C373">
        <v>0</v>
      </c>
      <c r="D373" t="s">
        <v>104</v>
      </c>
      <c r="E373">
        <v>0.417916958598125</v>
      </c>
      <c r="F373">
        <v>0.33133807202528098</v>
      </c>
      <c r="G373">
        <v>1.2613007495445301</v>
      </c>
      <c r="H373">
        <v>-0.24291598879181001</v>
      </c>
      <c r="I373">
        <v>1.0787499059880601</v>
      </c>
      <c r="J373">
        <v>0.21138778333808</v>
      </c>
    </row>
    <row r="374" spans="1:10" hidden="1" x14ac:dyDescent="0.2">
      <c r="A374" t="s">
        <v>85</v>
      </c>
      <c r="B374" t="s">
        <v>17</v>
      </c>
      <c r="C374">
        <v>0</v>
      </c>
      <c r="D374" t="s">
        <v>103</v>
      </c>
      <c r="E374">
        <v>-0.25191335140229498</v>
      </c>
      <c r="F374">
        <v>0.29755037249534899</v>
      </c>
      <c r="G374">
        <v>-0.84662421790862297</v>
      </c>
      <c r="H374">
        <v>-0.84535885692835999</v>
      </c>
      <c r="I374">
        <v>0.34153215412377003</v>
      </c>
      <c r="J374">
        <v>0.40008974043444701</v>
      </c>
    </row>
    <row r="375" spans="1:10" hidden="1" x14ac:dyDescent="0.2">
      <c r="A375" t="s">
        <v>85</v>
      </c>
      <c r="B375" t="s">
        <v>17</v>
      </c>
      <c r="C375">
        <v>1</v>
      </c>
      <c r="D375" t="s">
        <v>183</v>
      </c>
      <c r="E375">
        <v>0.226472498432713</v>
      </c>
      <c r="F375">
        <v>0.26019117570216299</v>
      </c>
      <c r="G375">
        <v>0.87040806753551703</v>
      </c>
      <c r="H375">
        <v>-0.30567820673470802</v>
      </c>
      <c r="I375">
        <v>0.75862320360013502</v>
      </c>
      <c r="J375">
        <v>0.39122560251745703</v>
      </c>
    </row>
    <row r="376" spans="1:10" hidden="1" x14ac:dyDescent="0.2">
      <c r="A376" t="s">
        <v>85</v>
      </c>
      <c r="B376" t="s">
        <v>17</v>
      </c>
      <c r="C376">
        <v>1</v>
      </c>
      <c r="D376" t="s">
        <v>104</v>
      </c>
      <c r="E376">
        <v>-3.7060538327381203E-2</v>
      </c>
      <c r="F376">
        <v>0.24887304549050401</v>
      </c>
      <c r="G376">
        <v>-0.148913427946118</v>
      </c>
      <c r="H376">
        <v>-0.54606306809240102</v>
      </c>
      <c r="I376">
        <v>0.47194199143763799</v>
      </c>
      <c r="J376">
        <v>0.882652668294159</v>
      </c>
    </row>
    <row r="377" spans="1:10" hidden="1" x14ac:dyDescent="0.2">
      <c r="A377" t="s">
        <v>85</v>
      </c>
      <c r="B377" t="s">
        <v>17</v>
      </c>
      <c r="C377">
        <v>1</v>
      </c>
      <c r="D377" t="s">
        <v>103</v>
      </c>
      <c r="E377">
        <v>0.28608306717311099</v>
      </c>
      <c r="F377">
        <v>0.23701505781313401</v>
      </c>
      <c r="G377">
        <v>1.20702486083674</v>
      </c>
      <c r="H377">
        <v>-0.198667154698107</v>
      </c>
      <c r="I377">
        <v>0.77083328904432902</v>
      </c>
      <c r="J377">
        <v>0.23717609594654801</v>
      </c>
    </row>
    <row r="378" spans="1:10" hidden="1" x14ac:dyDescent="0.2">
      <c r="A378" t="s">
        <v>85</v>
      </c>
      <c r="B378" t="s">
        <v>21</v>
      </c>
      <c r="C378">
        <v>0</v>
      </c>
      <c r="D378" t="s">
        <v>183</v>
      </c>
      <c r="E378">
        <v>-0.70754373650570401</v>
      </c>
      <c r="F378">
        <v>0.32669662052509801</v>
      </c>
      <c r="G378">
        <v>-2.1657516241474202</v>
      </c>
      <c r="H378">
        <v>-1.3591196007711901</v>
      </c>
      <c r="I378">
        <v>-5.5967872240219999E-2</v>
      </c>
      <c r="J378">
        <v>3.3739010444175703E-2</v>
      </c>
    </row>
    <row r="379" spans="1:10" hidden="1" x14ac:dyDescent="0.2">
      <c r="A379" t="s">
        <v>85</v>
      </c>
      <c r="B379" t="s">
        <v>21</v>
      </c>
      <c r="C379">
        <v>0</v>
      </c>
      <c r="D379" t="s">
        <v>104</v>
      </c>
      <c r="E379">
        <v>0.40362690804761903</v>
      </c>
      <c r="F379">
        <v>0.29903679325904298</v>
      </c>
      <c r="G379">
        <v>1.3497566759217301</v>
      </c>
      <c r="H379">
        <v>-0.19278317021326499</v>
      </c>
      <c r="I379">
        <v>1.0000369863084999</v>
      </c>
      <c r="J379">
        <v>0.181442930865231</v>
      </c>
    </row>
    <row r="380" spans="1:10" hidden="1" x14ac:dyDescent="0.2">
      <c r="A380" t="s">
        <v>85</v>
      </c>
      <c r="B380" t="s">
        <v>21</v>
      </c>
      <c r="C380">
        <v>0</v>
      </c>
      <c r="D380" t="s">
        <v>103</v>
      </c>
      <c r="E380">
        <v>-0.32564328359014699</v>
      </c>
      <c r="F380">
        <v>0.26854296785204401</v>
      </c>
      <c r="G380">
        <v>-1.2126300911724599</v>
      </c>
      <c r="H380">
        <v>-0.86123534477943897</v>
      </c>
      <c r="I380">
        <v>0.20994877759914499</v>
      </c>
      <c r="J380">
        <v>0.229347960403671</v>
      </c>
    </row>
    <row r="381" spans="1:10" hidden="1" x14ac:dyDescent="0.2">
      <c r="A381" t="s">
        <v>85</v>
      </c>
      <c r="B381" t="s">
        <v>21</v>
      </c>
      <c r="C381">
        <v>1</v>
      </c>
      <c r="D381" t="s">
        <v>183</v>
      </c>
      <c r="E381">
        <v>0.31482365435092802</v>
      </c>
      <c r="F381">
        <v>0.37358020971452499</v>
      </c>
      <c r="G381">
        <v>0.84272037480653195</v>
      </c>
      <c r="H381">
        <v>-0.44923366427137201</v>
      </c>
      <c r="I381">
        <v>1.07888097297323</v>
      </c>
      <c r="J381">
        <v>0.40628181896424298</v>
      </c>
    </row>
    <row r="382" spans="1:10" hidden="1" x14ac:dyDescent="0.2">
      <c r="A382" t="s">
        <v>85</v>
      </c>
      <c r="B382" t="s">
        <v>21</v>
      </c>
      <c r="C382">
        <v>1</v>
      </c>
      <c r="D382" t="s">
        <v>104</v>
      </c>
      <c r="E382">
        <v>-0.18391558008928599</v>
      </c>
      <c r="F382">
        <v>0.35732973755059699</v>
      </c>
      <c r="G382">
        <v>-0.51469430266280003</v>
      </c>
      <c r="H382">
        <v>-0.91473695134326705</v>
      </c>
      <c r="I382">
        <v>0.54690579116469495</v>
      </c>
      <c r="J382">
        <v>0.61066740474011605</v>
      </c>
    </row>
    <row r="383" spans="1:10" hidden="1" x14ac:dyDescent="0.2">
      <c r="A383" t="s">
        <v>85</v>
      </c>
      <c r="B383" t="s">
        <v>21</v>
      </c>
      <c r="C383">
        <v>1</v>
      </c>
      <c r="D383" t="s">
        <v>103</v>
      </c>
      <c r="E383">
        <v>0.350935495901598</v>
      </c>
      <c r="F383">
        <v>0.340304142768801</v>
      </c>
      <c r="G383">
        <v>1.03124073966981</v>
      </c>
      <c r="H383">
        <v>-0.34506462422971401</v>
      </c>
      <c r="I383">
        <v>1.04693561603291</v>
      </c>
      <c r="J383">
        <v>0.31095220619666802</v>
      </c>
    </row>
    <row r="384" spans="1:10" hidden="1" x14ac:dyDescent="0.2">
      <c r="A384" t="s">
        <v>85</v>
      </c>
      <c r="B384" t="s">
        <v>29</v>
      </c>
      <c r="C384">
        <v>0</v>
      </c>
      <c r="D384" t="s">
        <v>183</v>
      </c>
      <c r="E384">
        <v>-4.6188675223240799E-2</v>
      </c>
      <c r="F384">
        <v>0.35406740886263099</v>
      </c>
      <c r="G384">
        <v>-0.13045164301230799</v>
      </c>
      <c r="H384">
        <v>-0.75235385552753498</v>
      </c>
      <c r="I384">
        <v>0.65997650508105299</v>
      </c>
      <c r="J384">
        <v>0.89658327760229295</v>
      </c>
    </row>
    <row r="385" spans="1:10" hidden="1" x14ac:dyDescent="0.2">
      <c r="A385" t="s">
        <v>85</v>
      </c>
      <c r="B385" t="s">
        <v>29</v>
      </c>
      <c r="C385">
        <v>0</v>
      </c>
      <c r="D385" t="s">
        <v>104</v>
      </c>
      <c r="E385">
        <v>9.6136351140332296E-2</v>
      </c>
      <c r="F385">
        <v>0.32409022895198802</v>
      </c>
      <c r="G385">
        <v>0.29663452505559601</v>
      </c>
      <c r="H385">
        <v>-0.55024122904393402</v>
      </c>
      <c r="I385">
        <v>0.74251393132459798</v>
      </c>
      <c r="J385">
        <v>0.76762392208238694</v>
      </c>
    </row>
    <row r="386" spans="1:10" hidden="1" x14ac:dyDescent="0.2">
      <c r="A386" t="s">
        <v>85</v>
      </c>
      <c r="B386" t="s">
        <v>29</v>
      </c>
      <c r="C386">
        <v>0</v>
      </c>
      <c r="D386" t="s">
        <v>103</v>
      </c>
      <c r="E386">
        <v>-0.43916454371921898</v>
      </c>
      <c r="F386">
        <v>0.29104161727424199</v>
      </c>
      <c r="G386">
        <v>-1.5089407069415901</v>
      </c>
      <c r="H386">
        <v>-1.01962874628087</v>
      </c>
      <c r="I386">
        <v>0.141299658842436</v>
      </c>
      <c r="J386">
        <v>0.135814556705489</v>
      </c>
    </row>
    <row r="387" spans="1:10" hidden="1" x14ac:dyDescent="0.2">
      <c r="A387" t="s">
        <v>85</v>
      </c>
      <c r="B387" t="s">
        <v>29</v>
      </c>
      <c r="C387">
        <v>1</v>
      </c>
      <c r="D387" t="s">
        <v>183</v>
      </c>
      <c r="E387">
        <v>-0.43188588124850003</v>
      </c>
      <c r="F387">
        <v>0.21807164096188</v>
      </c>
      <c r="G387">
        <v>-1.9804770548959001</v>
      </c>
      <c r="H387">
        <v>-0.87789246545225796</v>
      </c>
      <c r="I387">
        <v>1.4120702955258101E-2</v>
      </c>
      <c r="J387">
        <v>5.7206793736396602E-2</v>
      </c>
    </row>
    <row r="388" spans="1:10" hidden="1" x14ac:dyDescent="0.2">
      <c r="A388" t="s">
        <v>85</v>
      </c>
      <c r="B388" t="s">
        <v>29</v>
      </c>
      <c r="C388">
        <v>1</v>
      </c>
      <c r="D388" t="s">
        <v>104</v>
      </c>
      <c r="E388">
        <v>0.29289027657738098</v>
      </c>
      <c r="F388">
        <v>0.20858568041300299</v>
      </c>
      <c r="G388">
        <v>1.4041725011873001</v>
      </c>
      <c r="H388">
        <v>-0.13371533992771201</v>
      </c>
      <c r="I388">
        <v>0.71949589308247497</v>
      </c>
      <c r="J388">
        <v>0.170887162124154</v>
      </c>
    </row>
    <row r="389" spans="1:10" hidden="1" x14ac:dyDescent="0.2">
      <c r="A389" t="s">
        <v>85</v>
      </c>
      <c r="B389" t="s">
        <v>29</v>
      </c>
      <c r="C389">
        <v>1</v>
      </c>
      <c r="D389" t="s">
        <v>103</v>
      </c>
      <c r="E389">
        <v>5.1876846324228898E-2</v>
      </c>
      <c r="F389">
        <v>0.198647254083473</v>
      </c>
      <c r="G389">
        <v>0.26115058354861398</v>
      </c>
      <c r="H389">
        <v>-0.35440240605555701</v>
      </c>
      <c r="I389">
        <v>0.45815609870401502</v>
      </c>
      <c r="J389">
        <v>0.79582210388375296</v>
      </c>
    </row>
    <row r="390" spans="1:10" hidden="1" x14ac:dyDescent="0.2">
      <c r="A390" t="s">
        <v>85</v>
      </c>
      <c r="B390" t="s">
        <v>18</v>
      </c>
      <c r="C390">
        <v>0</v>
      </c>
      <c r="D390" t="s">
        <v>183</v>
      </c>
      <c r="E390">
        <v>-0.20563684105053501</v>
      </c>
      <c r="F390">
        <v>0.31304591191018799</v>
      </c>
      <c r="G390">
        <v>-0.65689035769785797</v>
      </c>
      <c r="H390">
        <v>-0.82998722545246695</v>
      </c>
      <c r="I390">
        <v>0.41871354335139699</v>
      </c>
      <c r="J390">
        <v>0.513405359192044</v>
      </c>
    </row>
    <row r="391" spans="1:10" hidden="1" x14ac:dyDescent="0.2">
      <c r="A391" t="s">
        <v>85</v>
      </c>
      <c r="B391" t="s">
        <v>18</v>
      </c>
      <c r="C391">
        <v>0</v>
      </c>
      <c r="D391" t="s">
        <v>104</v>
      </c>
      <c r="E391">
        <v>0.10246909232792301</v>
      </c>
      <c r="F391">
        <v>0.28654182430786401</v>
      </c>
      <c r="G391">
        <v>0.357606058296846</v>
      </c>
      <c r="H391">
        <v>-0.46902055614630001</v>
      </c>
      <c r="I391">
        <v>0.67395874080214502</v>
      </c>
      <c r="J391">
        <v>0.72171413602693302</v>
      </c>
    </row>
    <row r="392" spans="1:10" hidden="1" x14ac:dyDescent="0.2">
      <c r="A392" t="s">
        <v>85</v>
      </c>
      <c r="B392" t="s">
        <v>18</v>
      </c>
      <c r="C392">
        <v>0</v>
      </c>
      <c r="D392" t="s">
        <v>103</v>
      </c>
      <c r="E392">
        <v>-0.33647680094004501</v>
      </c>
      <c r="F392">
        <v>0.25732215449058499</v>
      </c>
      <c r="G392">
        <v>-1.3076091392370099</v>
      </c>
      <c r="H392">
        <v>-0.84968965553698494</v>
      </c>
      <c r="I392">
        <v>0.17673605365689499</v>
      </c>
      <c r="J392">
        <v>0.19528436073695399</v>
      </c>
    </row>
    <row r="393" spans="1:10" hidden="1" x14ac:dyDescent="0.2">
      <c r="A393" t="s">
        <v>85</v>
      </c>
      <c r="B393" t="s">
        <v>18</v>
      </c>
      <c r="C393">
        <v>1</v>
      </c>
      <c r="D393" t="s">
        <v>183</v>
      </c>
      <c r="E393">
        <v>-0.32982484922765998</v>
      </c>
      <c r="F393">
        <v>0.272343736385739</v>
      </c>
      <c r="G393">
        <v>-1.2110608953403901</v>
      </c>
      <c r="H393">
        <v>-0.88683033173294801</v>
      </c>
      <c r="I393">
        <v>0.227180633277628</v>
      </c>
      <c r="J393">
        <v>0.23564926231050101</v>
      </c>
    </row>
    <row r="394" spans="1:10" hidden="1" x14ac:dyDescent="0.2">
      <c r="A394" t="s">
        <v>85</v>
      </c>
      <c r="B394" t="s">
        <v>18</v>
      </c>
      <c r="C394">
        <v>1</v>
      </c>
      <c r="D394" t="s">
        <v>104</v>
      </c>
      <c r="E394">
        <v>0.13202850502976199</v>
      </c>
      <c r="F394">
        <v>0.260496978468507</v>
      </c>
      <c r="G394">
        <v>0.50683315332858503</v>
      </c>
      <c r="H394">
        <v>-0.40074763702003402</v>
      </c>
      <c r="I394">
        <v>0.664804647079558</v>
      </c>
      <c r="J394">
        <v>0.61610418056328298</v>
      </c>
    </row>
    <row r="395" spans="1:10" hidden="1" x14ac:dyDescent="0.2">
      <c r="A395" t="s">
        <v>85</v>
      </c>
      <c r="B395" t="s">
        <v>18</v>
      </c>
      <c r="C395">
        <v>1</v>
      </c>
      <c r="D395" t="s">
        <v>103</v>
      </c>
      <c r="E395">
        <v>7.64778135689438E-2</v>
      </c>
      <c r="F395">
        <v>0.24808514835414699</v>
      </c>
      <c r="G395">
        <v>0.30827243821855099</v>
      </c>
      <c r="H395">
        <v>-0.43091328561784598</v>
      </c>
      <c r="I395">
        <v>0.58386891275573405</v>
      </c>
      <c r="J395">
        <v>0.76007854055632396</v>
      </c>
    </row>
    <row r="396" spans="1:10" hidden="1" x14ac:dyDescent="0.2">
      <c r="A396" t="s">
        <v>85</v>
      </c>
      <c r="B396" t="s">
        <v>14</v>
      </c>
      <c r="C396">
        <v>0</v>
      </c>
      <c r="D396" t="s">
        <v>183</v>
      </c>
      <c r="E396">
        <v>-2.7234541808230501E-2</v>
      </c>
      <c r="F396">
        <v>0.30851774604162402</v>
      </c>
      <c r="G396">
        <v>-8.8275446575303701E-2</v>
      </c>
      <c r="H396">
        <v>-0.64255378415364295</v>
      </c>
      <c r="I396">
        <v>0.58808470053718198</v>
      </c>
      <c r="J396">
        <v>0.92990981527559102</v>
      </c>
    </row>
    <row r="397" spans="1:10" hidden="1" x14ac:dyDescent="0.2">
      <c r="A397" t="s">
        <v>85</v>
      </c>
      <c r="B397" t="s">
        <v>14</v>
      </c>
      <c r="C397">
        <v>0</v>
      </c>
      <c r="D397" t="s">
        <v>104</v>
      </c>
      <c r="E397">
        <v>0.15459352300613299</v>
      </c>
      <c r="F397">
        <v>0.28239703640493402</v>
      </c>
      <c r="G397">
        <v>0.54743323433627999</v>
      </c>
      <c r="H397">
        <v>-0.408629606654066</v>
      </c>
      <c r="I397">
        <v>0.71781665266633299</v>
      </c>
      <c r="J397">
        <v>0.58582237237777302</v>
      </c>
    </row>
    <row r="398" spans="1:10" hidden="1" x14ac:dyDescent="0.2">
      <c r="A398" t="s">
        <v>85</v>
      </c>
      <c r="B398" t="s">
        <v>14</v>
      </c>
      <c r="C398">
        <v>0</v>
      </c>
      <c r="D398" t="s">
        <v>103</v>
      </c>
      <c r="E398">
        <v>-0.25924554922487802</v>
      </c>
      <c r="F398">
        <v>0.253600025074872</v>
      </c>
      <c r="G398">
        <v>-1.0222615283588401</v>
      </c>
      <c r="H398">
        <v>-0.76503485078030597</v>
      </c>
      <c r="I398">
        <v>0.24654375233054901</v>
      </c>
      <c r="J398">
        <v>0.31017710603090098</v>
      </c>
    </row>
    <row r="399" spans="1:10" hidden="1" x14ac:dyDescent="0.2">
      <c r="A399" t="s">
        <v>85</v>
      </c>
      <c r="B399" t="s">
        <v>14</v>
      </c>
      <c r="C399">
        <v>1</v>
      </c>
      <c r="D399" t="s">
        <v>183</v>
      </c>
      <c r="E399">
        <v>-0.32246079731760802</v>
      </c>
      <c r="F399">
        <v>0.28927781921392698</v>
      </c>
      <c r="G399">
        <v>-1.11470972158823</v>
      </c>
      <c r="H399">
        <v>-0.91410036798543703</v>
      </c>
      <c r="I399">
        <v>0.269178773350222</v>
      </c>
      <c r="J399">
        <v>0.27412791846046197</v>
      </c>
    </row>
    <row r="400" spans="1:10" hidden="1" x14ac:dyDescent="0.2">
      <c r="A400" t="s">
        <v>85</v>
      </c>
      <c r="B400" t="s">
        <v>14</v>
      </c>
      <c r="C400">
        <v>1</v>
      </c>
      <c r="D400" t="s">
        <v>104</v>
      </c>
      <c r="E400">
        <v>4.4030263833333402E-2</v>
      </c>
      <c r="F400">
        <v>0.27669444079468503</v>
      </c>
      <c r="G400">
        <v>0.15912955716376401</v>
      </c>
      <c r="H400">
        <v>-0.52187340829328899</v>
      </c>
      <c r="I400">
        <v>0.60993393595995604</v>
      </c>
      <c r="J400">
        <v>0.87466988009637503</v>
      </c>
    </row>
    <row r="401" spans="1:10" hidden="1" x14ac:dyDescent="0.2">
      <c r="A401" t="s">
        <v>85</v>
      </c>
      <c r="B401" t="s">
        <v>14</v>
      </c>
      <c r="C401">
        <v>1</v>
      </c>
      <c r="D401" t="s">
        <v>103</v>
      </c>
      <c r="E401">
        <v>-4.9762676674137397E-2</v>
      </c>
      <c r="F401">
        <v>0.26351085450926198</v>
      </c>
      <c r="G401">
        <v>-0.18884488370246</v>
      </c>
      <c r="H401">
        <v>-0.58870288734019705</v>
      </c>
      <c r="I401">
        <v>0.48917753399192299</v>
      </c>
      <c r="J401">
        <v>0.85152979644532101</v>
      </c>
    </row>
    <row r="402" spans="1:10" hidden="1" x14ac:dyDescent="0.2">
      <c r="A402" t="s">
        <v>84</v>
      </c>
      <c r="B402" t="s">
        <v>252</v>
      </c>
      <c r="C402">
        <v>0</v>
      </c>
      <c r="D402" t="s">
        <v>135</v>
      </c>
      <c r="E402">
        <v>-0.86829787816161697</v>
      </c>
      <c r="F402">
        <v>0.42247962283463403</v>
      </c>
      <c r="G402">
        <v>-2.0552420311677002</v>
      </c>
      <c r="H402">
        <v>-1.7109069169101001</v>
      </c>
      <c r="I402">
        <v>-2.56888394131294E-2</v>
      </c>
      <c r="J402">
        <v>4.35884693325575E-2</v>
      </c>
    </row>
    <row r="403" spans="1:10" hidden="1" x14ac:dyDescent="0.2">
      <c r="A403" t="s">
        <v>84</v>
      </c>
      <c r="B403" t="s">
        <v>252</v>
      </c>
      <c r="C403">
        <v>0</v>
      </c>
      <c r="D403" t="s">
        <v>143</v>
      </c>
      <c r="E403">
        <v>-0.90474897307936597</v>
      </c>
      <c r="F403">
        <v>0.51379351688396402</v>
      </c>
      <c r="G403">
        <v>-1.7609194031222</v>
      </c>
      <c r="H403">
        <v>-1.9294778309401801</v>
      </c>
      <c r="I403">
        <v>0.119979884781447</v>
      </c>
      <c r="J403">
        <v>8.2619451410615205E-2</v>
      </c>
    </row>
    <row r="404" spans="1:10" hidden="1" x14ac:dyDescent="0.2">
      <c r="A404" t="s">
        <v>84</v>
      </c>
      <c r="B404" t="s">
        <v>252</v>
      </c>
      <c r="C404">
        <v>0</v>
      </c>
      <c r="D404" t="s">
        <v>88</v>
      </c>
      <c r="E404">
        <v>-0.93822397130000001</v>
      </c>
      <c r="F404">
        <v>0.58862442067458398</v>
      </c>
      <c r="G404">
        <v>-1.59392634479005</v>
      </c>
      <c r="H404">
        <v>-2.1121983607882</v>
      </c>
      <c r="I404">
        <v>0.235750418188204</v>
      </c>
      <c r="J404">
        <v>0.11545822168617</v>
      </c>
    </row>
    <row r="405" spans="1:10" hidden="1" x14ac:dyDescent="0.2">
      <c r="A405" t="s">
        <v>84</v>
      </c>
      <c r="B405" t="s">
        <v>252</v>
      </c>
      <c r="C405">
        <v>1</v>
      </c>
      <c r="D405" t="s">
        <v>135</v>
      </c>
      <c r="E405">
        <v>0.35450113196428601</v>
      </c>
      <c r="F405">
        <v>0.37194044051123798</v>
      </c>
      <c r="G405">
        <v>0.95311263135844504</v>
      </c>
      <c r="H405">
        <v>-0.406202482077195</v>
      </c>
      <c r="I405">
        <v>1.1152047460057699</v>
      </c>
      <c r="J405">
        <v>0.34841033871342503</v>
      </c>
    </row>
    <row r="406" spans="1:10" hidden="1" x14ac:dyDescent="0.2">
      <c r="A406" t="s">
        <v>84</v>
      </c>
      <c r="B406" t="s">
        <v>252</v>
      </c>
      <c r="C406">
        <v>1</v>
      </c>
      <c r="D406" t="s">
        <v>143</v>
      </c>
      <c r="E406">
        <v>0.464126392</v>
      </c>
      <c r="F406">
        <v>0.418024967203525</v>
      </c>
      <c r="G406">
        <v>1.11028390266945</v>
      </c>
      <c r="H406">
        <v>-0.39083066207620099</v>
      </c>
      <c r="I406">
        <v>1.3190834460762</v>
      </c>
      <c r="J406">
        <v>0.27599834324107703</v>
      </c>
    </row>
    <row r="407" spans="1:10" hidden="1" x14ac:dyDescent="0.2">
      <c r="A407" t="s">
        <v>84</v>
      </c>
      <c r="B407" t="s">
        <v>252</v>
      </c>
      <c r="C407">
        <v>1</v>
      </c>
      <c r="D407" t="s">
        <v>88</v>
      </c>
      <c r="E407">
        <v>-0.148316405428571</v>
      </c>
      <c r="F407">
        <v>0.418024967203525</v>
      </c>
      <c r="G407">
        <v>-0.35480274401016798</v>
      </c>
      <c r="H407">
        <v>-1.0032734595047701</v>
      </c>
      <c r="I407">
        <v>0.70664064864762999</v>
      </c>
      <c r="J407">
        <v>0.72530469531321695</v>
      </c>
    </row>
    <row r="408" spans="1:10" hidden="1" x14ac:dyDescent="0.2">
      <c r="A408" t="s">
        <v>84</v>
      </c>
      <c r="B408" t="s">
        <v>253</v>
      </c>
      <c r="C408">
        <v>0</v>
      </c>
      <c r="D408" t="s">
        <v>135</v>
      </c>
      <c r="E408">
        <v>-0.83603456747474703</v>
      </c>
      <c r="F408">
        <v>0.35645272714529702</v>
      </c>
      <c r="G408">
        <v>-2.3454290114996499</v>
      </c>
      <c r="H408">
        <v>-1.54695711508538</v>
      </c>
      <c r="I408">
        <v>-0.12511201986411899</v>
      </c>
      <c r="J408">
        <v>2.1844483124106299E-2</v>
      </c>
    </row>
    <row r="409" spans="1:10" hidden="1" x14ac:dyDescent="0.2">
      <c r="A409" t="s">
        <v>84</v>
      </c>
      <c r="B409" t="s">
        <v>253</v>
      </c>
      <c r="C409">
        <v>0</v>
      </c>
      <c r="D409" t="s">
        <v>143</v>
      </c>
      <c r="E409">
        <v>-0.54497072492063503</v>
      </c>
      <c r="F409">
        <v>0.433495701056682</v>
      </c>
      <c r="G409">
        <v>-1.25715370092996</v>
      </c>
      <c r="H409">
        <v>-1.4095506389013499</v>
      </c>
      <c r="I409">
        <v>0.31960918906007901</v>
      </c>
      <c r="J409">
        <v>0.21287641097694199</v>
      </c>
    </row>
    <row r="410" spans="1:10" hidden="1" x14ac:dyDescent="0.2">
      <c r="A410" t="s">
        <v>84</v>
      </c>
      <c r="B410" t="s">
        <v>253</v>
      </c>
      <c r="C410">
        <v>0</v>
      </c>
      <c r="D410" t="s">
        <v>88</v>
      </c>
      <c r="E410">
        <v>-0.75123287599999899</v>
      </c>
      <c r="F410">
        <v>0.49663171588254801</v>
      </c>
      <c r="G410">
        <v>-1.5126558614264201</v>
      </c>
      <c r="H410">
        <v>-1.7417336010387601</v>
      </c>
      <c r="I410">
        <v>0.239267849038758</v>
      </c>
      <c r="J410">
        <v>0.134869045056312</v>
      </c>
    </row>
    <row r="411" spans="1:10" hidden="1" x14ac:dyDescent="0.2">
      <c r="A411" t="s">
        <v>84</v>
      </c>
      <c r="B411" t="s">
        <v>253</v>
      </c>
      <c r="C411">
        <v>1</v>
      </c>
      <c r="D411" t="s">
        <v>135</v>
      </c>
      <c r="E411">
        <v>0.98008601960714203</v>
      </c>
      <c r="F411">
        <v>0.44899255778151298</v>
      </c>
      <c r="G411">
        <v>2.1828558238242999</v>
      </c>
      <c r="H411">
        <v>6.1793131335411797E-2</v>
      </c>
      <c r="I411">
        <v>1.89837890787887</v>
      </c>
      <c r="J411">
        <v>3.7288503515661701E-2</v>
      </c>
    </row>
    <row r="412" spans="1:10" hidden="1" x14ac:dyDescent="0.2">
      <c r="A412" t="s">
        <v>84</v>
      </c>
      <c r="B412" t="s">
        <v>253</v>
      </c>
      <c r="C412">
        <v>1</v>
      </c>
      <c r="D412" t="s">
        <v>143</v>
      </c>
      <c r="E412">
        <v>0.47748589828571403</v>
      </c>
      <c r="F412">
        <v>0.50462407094872697</v>
      </c>
      <c r="G412">
        <v>0.94622101040089002</v>
      </c>
      <c r="H412">
        <v>-0.554586209752298</v>
      </c>
      <c r="I412">
        <v>1.5095580063237299</v>
      </c>
      <c r="J412">
        <v>0.35185394592416602</v>
      </c>
    </row>
    <row r="413" spans="1:10" hidden="1" x14ac:dyDescent="0.2">
      <c r="A413" t="s">
        <v>84</v>
      </c>
      <c r="B413" t="s">
        <v>253</v>
      </c>
      <c r="C413">
        <v>1</v>
      </c>
      <c r="D413" t="s">
        <v>88</v>
      </c>
      <c r="E413">
        <v>0.153162402</v>
      </c>
      <c r="F413">
        <v>0.50462407094872697</v>
      </c>
      <c r="G413">
        <v>0.30351782805771499</v>
      </c>
      <c r="H413">
        <v>-0.87890970603801299</v>
      </c>
      <c r="I413">
        <v>1.1852345100380099</v>
      </c>
      <c r="J413">
        <v>0.76366219183710304</v>
      </c>
    </row>
    <row r="414" spans="1:10" hidden="1" x14ac:dyDescent="0.2">
      <c r="A414" t="s">
        <v>84</v>
      </c>
      <c r="B414" t="s">
        <v>254</v>
      </c>
      <c r="C414">
        <v>0</v>
      </c>
      <c r="D414" t="s">
        <v>135</v>
      </c>
      <c r="E414">
        <v>-0.55727124666161698</v>
      </c>
      <c r="F414">
        <v>0.32689695001679098</v>
      </c>
      <c r="G414">
        <v>-1.7047306395271999</v>
      </c>
      <c r="H414">
        <v>-1.2092466554999199</v>
      </c>
      <c r="I414">
        <v>9.4704162176682302E-2</v>
      </c>
      <c r="J414">
        <v>9.26795474868959E-2</v>
      </c>
    </row>
    <row r="415" spans="1:10" hidden="1" x14ac:dyDescent="0.2">
      <c r="A415" t="s">
        <v>84</v>
      </c>
      <c r="B415" t="s">
        <v>254</v>
      </c>
      <c r="C415">
        <v>0</v>
      </c>
      <c r="D415" t="s">
        <v>143</v>
      </c>
      <c r="E415">
        <v>-0.25760782334127003</v>
      </c>
      <c r="F415">
        <v>0.39755179783785699</v>
      </c>
      <c r="G415">
        <v>-0.64798555746020403</v>
      </c>
      <c r="H415">
        <v>-1.0504998828004499</v>
      </c>
      <c r="I415">
        <v>0.53528423611790799</v>
      </c>
      <c r="J415">
        <v>0.51911411736813196</v>
      </c>
    </row>
    <row r="416" spans="1:10" hidden="1" x14ac:dyDescent="0.2">
      <c r="A416" t="s">
        <v>84</v>
      </c>
      <c r="B416" t="s">
        <v>254</v>
      </c>
      <c r="C416">
        <v>0</v>
      </c>
      <c r="D416" t="s">
        <v>88</v>
      </c>
      <c r="E416">
        <v>-8.6627752055555701E-2</v>
      </c>
      <c r="F416">
        <v>0.45545280156444001</v>
      </c>
      <c r="G416">
        <v>-0.19020138147794199</v>
      </c>
      <c r="H416">
        <v>-0.99499972215583299</v>
      </c>
      <c r="I416">
        <v>0.82174421804472197</v>
      </c>
      <c r="J416">
        <v>0.84970183688096301</v>
      </c>
    </row>
    <row r="417" spans="1:10" hidden="1" x14ac:dyDescent="0.2">
      <c r="A417" t="s">
        <v>84</v>
      </c>
      <c r="B417" t="s">
        <v>254</v>
      </c>
      <c r="C417">
        <v>1</v>
      </c>
      <c r="D417" t="s">
        <v>135</v>
      </c>
      <c r="E417">
        <v>-0.26310692648809503</v>
      </c>
      <c r="F417">
        <v>0.46149231280249198</v>
      </c>
      <c r="G417">
        <v>-0.57012201327977197</v>
      </c>
      <c r="H417">
        <v>-1.2069646842481301</v>
      </c>
      <c r="I417">
        <v>0.68075083127194003</v>
      </c>
      <c r="J417">
        <v>0.57298582909195594</v>
      </c>
    </row>
    <row r="418" spans="1:10" hidden="1" x14ac:dyDescent="0.2">
      <c r="A418" t="s">
        <v>84</v>
      </c>
      <c r="B418" t="s">
        <v>254</v>
      </c>
      <c r="C418">
        <v>1</v>
      </c>
      <c r="D418" t="s">
        <v>143</v>
      </c>
      <c r="E418">
        <v>-0.45727815799999999</v>
      </c>
      <c r="F418">
        <v>0.51867258278980199</v>
      </c>
      <c r="G418">
        <v>-0.88163163655272003</v>
      </c>
      <c r="H418">
        <v>-1.5180826988832301</v>
      </c>
      <c r="I418">
        <v>0.60352638288323301</v>
      </c>
      <c r="J418">
        <v>0.38522518427365399</v>
      </c>
    </row>
    <row r="419" spans="1:10" hidden="1" x14ac:dyDescent="0.2">
      <c r="A419" t="s">
        <v>84</v>
      </c>
      <c r="B419" t="s">
        <v>254</v>
      </c>
      <c r="C419">
        <v>1</v>
      </c>
      <c r="D419" t="s">
        <v>88</v>
      </c>
      <c r="E419">
        <v>-0.158788152285714</v>
      </c>
      <c r="F419">
        <v>0.51867258278980299</v>
      </c>
      <c r="G419">
        <v>-0.30614333117751202</v>
      </c>
      <c r="H419">
        <v>-1.21959269316895</v>
      </c>
      <c r="I419">
        <v>0.90201638859751898</v>
      </c>
      <c r="J419">
        <v>0.76168262938105602</v>
      </c>
    </row>
    <row r="420" spans="1:10" hidden="1" x14ac:dyDescent="0.2">
      <c r="A420" t="s">
        <v>84</v>
      </c>
      <c r="B420" t="s">
        <v>255</v>
      </c>
      <c r="C420">
        <v>0</v>
      </c>
      <c r="D420" t="s">
        <v>135</v>
      </c>
      <c r="E420">
        <v>-0.30074402334848499</v>
      </c>
      <c r="F420">
        <v>0.21947629588200099</v>
      </c>
      <c r="G420">
        <v>-1.37028020333538</v>
      </c>
      <c r="H420">
        <v>-0.73847569300962201</v>
      </c>
      <c r="I420">
        <v>0.13698764631265201</v>
      </c>
      <c r="J420">
        <v>0.17497816564073301</v>
      </c>
    </row>
    <row r="421" spans="1:10" hidden="1" x14ac:dyDescent="0.2">
      <c r="A421" t="s">
        <v>84</v>
      </c>
      <c r="B421" t="s">
        <v>255</v>
      </c>
      <c r="C421">
        <v>0</v>
      </c>
      <c r="D421" t="s">
        <v>143</v>
      </c>
      <c r="E421">
        <v>-0.25963102578571501</v>
      </c>
      <c r="F421">
        <v>0.26691346005584099</v>
      </c>
      <c r="G421">
        <v>-0.97271612203969504</v>
      </c>
      <c r="H421">
        <v>-0.79197313615234</v>
      </c>
      <c r="I421">
        <v>0.27271108458090998</v>
      </c>
      <c r="J421">
        <v>0.33404377331366297</v>
      </c>
    </row>
    <row r="422" spans="1:10" hidden="1" x14ac:dyDescent="0.2">
      <c r="A422" t="s">
        <v>84</v>
      </c>
      <c r="B422" t="s">
        <v>255</v>
      </c>
      <c r="C422">
        <v>0</v>
      </c>
      <c r="D422" t="s">
        <v>88</v>
      </c>
      <c r="E422">
        <v>-9.7360976500000002E-2</v>
      </c>
      <c r="F422">
        <v>0.30578778367711601</v>
      </c>
      <c r="G422">
        <v>-0.31839393755116302</v>
      </c>
      <c r="H422">
        <v>-0.707235480591899</v>
      </c>
      <c r="I422">
        <v>0.51251352759189905</v>
      </c>
      <c r="J422">
        <v>0.75113415276729201</v>
      </c>
    </row>
    <row r="423" spans="1:10" hidden="1" x14ac:dyDescent="0.2">
      <c r="A423" t="s">
        <v>84</v>
      </c>
      <c r="B423" t="s">
        <v>255</v>
      </c>
      <c r="C423">
        <v>1</v>
      </c>
      <c r="D423" t="s">
        <v>135</v>
      </c>
      <c r="E423">
        <v>0.848523714833333</v>
      </c>
      <c r="F423">
        <v>0.70484947818185895</v>
      </c>
      <c r="G423">
        <v>1.2038367638748599</v>
      </c>
      <c r="H423">
        <v>-0.59305533118597298</v>
      </c>
      <c r="I423">
        <v>2.2901027608526401</v>
      </c>
      <c r="J423">
        <v>0.23838734558601499</v>
      </c>
    </row>
    <row r="424" spans="1:10" hidden="1" x14ac:dyDescent="0.2">
      <c r="A424" t="s">
        <v>84</v>
      </c>
      <c r="B424" t="s">
        <v>255</v>
      </c>
      <c r="C424">
        <v>1</v>
      </c>
      <c r="D424" t="s">
        <v>143</v>
      </c>
      <c r="E424">
        <v>1.1247749684285699</v>
      </c>
      <c r="F424">
        <v>0.79218242467906796</v>
      </c>
      <c r="G424">
        <v>1.4198433762075</v>
      </c>
      <c r="H424">
        <v>-0.49542000850161699</v>
      </c>
      <c r="I424">
        <v>2.7449699453587599</v>
      </c>
      <c r="J424">
        <v>0.16631470841678</v>
      </c>
    </row>
    <row r="425" spans="1:10" hidden="1" x14ac:dyDescent="0.2">
      <c r="A425" t="s">
        <v>84</v>
      </c>
      <c r="B425" t="s">
        <v>255</v>
      </c>
      <c r="C425">
        <v>1</v>
      </c>
      <c r="D425" t="s">
        <v>88</v>
      </c>
      <c r="E425">
        <v>-3.8275618571420901E-3</v>
      </c>
      <c r="F425">
        <v>0.79218242467906796</v>
      </c>
      <c r="G425">
        <v>-4.8316672244940601E-3</v>
      </c>
      <c r="H425">
        <v>-1.6240225387873299</v>
      </c>
      <c r="I425">
        <v>1.61636741507305</v>
      </c>
      <c r="J425">
        <v>0.99617798707383098</v>
      </c>
    </row>
    <row r="426" spans="1:10" hidden="1" x14ac:dyDescent="0.2">
      <c r="A426" t="s">
        <v>84</v>
      </c>
      <c r="B426" t="s">
        <v>26</v>
      </c>
      <c r="C426">
        <v>0</v>
      </c>
      <c r="D426" t="s">
        <v>135</v>
      </c>
      <c r="E426">
        <v>-0.79985751555555595</v>
      </c>
      <c r="F426">
        <v>0.37837016316034899</v>
      </c>
      <c r="G426">
        <v>-2.1139550457010601</v>
      </c>
      <c r="H426">
        <v>-1.5544930109494799</v>
      </c>
      <c r="I426">
        <v>-4.5222020161636199E-2</v>
      </c>
      <c r="J426">
        <v>3.8083606991808301E-2</v>
      </c>
    </row>
    <row r="427" spans="1:10" hidden="1" x14ac:dyDescent="0.2">
      <c r="A427" t="s">
        <v>84</v>
      </c>
      <c r="B427" t="s">
        <v>26</v>
      </c>
      <c r="C427">
        <v>0</v>
      </c>
      <c r="D427" t="s">
        <v>143</v>
      </c>
      <c r="E427">
        <v>-0.89451524860317499</v>
      </c>
      <c r="F427">
        <v>0.46015032751108198</v>
      </c>
      <c r="G427">
        <v>-1.9439630814597899</v>
      </c>
      <c r="H427">
        <v>-1.8122561387849401</v>
      </c>
      <c r="I427">
        <v>2.32256415785922E-2</v>
      </c>
      <c r="J427">
        <v>5.5920088061287697E-2</v>
      </c>
    </row>
    <row r="428" spans="1:10" hidden="1" x14ac:dyDescent="0.2">
      <c r="A428" t="s">
        <v>84</v>
      </c>
      <c r="B428" t="s">
        <v>26</v>
      </c>
      <c r="C428">
        <v>0</v>
      </c>
      <c r="D428" t="s">
        <v>88</v>
      </c>
      <c r="E428">
        <v>-0.86607205699999901</v>
      </c>
      <c r="F428">
        <v>0.52716842671956299</v>
      </c>
      <c r="G428">
        <v>-1.64287543241037</v>
      </c>
      <c r="H428">
        <v>-1.9174763314035199</v>
      </c>
      <c r="I428">
        <v>0.18533221740352601</v>
      </c>
      <c r="J428">
        <v>0.10489364978388301</v>
      </c>
    </row>
    <row r="429" spans="1:10" hidden="1" x14ac:dyDescent="0.2">
      <c r="A429" t="s">
        <v>84</v>
      </c>
      <c r="B429" t="s">
        <v>26</v>
      </c>
      <c r="C429">
        <v>1</v>
      </c>
      <c r="D429" t="s">
        <v>135</v>
      </c>
      <c r="E429">
        <v>0.392371365273809</v>
      </c>
      <c r="F429">
        <v>0.41206069842808801</v>
      </c>
      <c r="G429">
        <v>0.95221739605502598</v>
      </c>
      <c r="H429">
        <v>-0.45038738950922103</v>
      </c>
      <c r="I429">
        <v>1.2351301200568401</v>
      </c>
      <c r="J429">
        <v>0.34885639226062298</v>
      </c>
    </row>
    <row r="430" spans="1:10" hidden="1" x14ac:dyDescent="0.2">
      <c r="A430" t="s">
        <v>84</v>
      </c>
      <c r="B430" t="s">
        <v>26</v>
      </c>
      <c r="C430">
        <v>1</v>
      </c>
      <c r="D430" t="s">
        <v>143</v>
      </c>
      <c r="E430">
        <v>0.73369509685714296</v>
      </c>
      <c r="F430">
        <v>0.46311624438982901</v>
      </c>
      <c r="G430">
        <v>1.5842568809561199</v>
      </c>
      <c r="H430">
        <v>-0.21348397392210799</v>
      </c>
      <c r="I430">
        <v>1.6808741676363901</v>
      </c>
      <c r="J430">
        <v>0.123981146023748</v>
      </c>
    </row>
    <row r="431" spans="1:10" hidden="1" x14ac:dyDescent="0.2">
      <c r="A431" t="s">
        <v>84</v>
      </c>
      <c r="B431" t="s">
        <v>26</v>
      </c>
      <c r="C431">
        <v>1</v>
      </c>
      <c r="D431" t="s">
        <v>88</v>
      </c>
      <c r="E431">
        <v>0.15565377485714299</v>
      </c>
      <c r="F431">
        <v>0.46311624438982901</v>
      </c>
      <c r="G431">
        <v>0.336100874764654</v>
      </c>
      <c r="H431">
        <v>-0.79152529592210796</v>
      </c>
      <c r="I431">
        <v>1.1028328456363901</v>
      </c>
      <c r="J431">
        <v>0.73921459428918301</v>
      </c>
    </row>
    <row r="432" spans="1:10" hidden="1" x14ac:dyDescent="0.2">
      <c r="A432" t="s">
        <v>84</v>
      </c>
      <c r="B432" t="s">
        <v>17</v>
      </c>
      <c r="C432">
        <v>0</v>
      </c>
      <c r="D432" t="s">
        <v>135</v>
      </c>
      <c r="E432">
        <v>-0.97163641598990003</v>
      </c>
      <c r="F432">
        <v>0.37480324930079301</v>
      </c>
      <c r="G432">
        <v>-2.5923905884020901</v>
      </c>
      <c r="H432">
        <v>-1.71915792600783</v>
      </c>
      <c r="I432">
        <v>-0.22411490597197001</v>
      </c>
      <c r="J432">
        <v>1.1594613119909499E-2</v>
      </c>
    </row>
    <row r="433" spans="1:10" hidden="1" x14ac:dyDescent="0.2">
      <c r="A433" t="s">
        <v>84</v>
      </c>
      <c r="B433" t="s">
        <v>17</v>
      </c>
      <c r="C433">
        <v>0</v>
      </c>
      <c r="D433" t="s">
        <v>143</v>
      </c>
      <c r="E433">
        <v>-0.96206049520635095</v>
      </c>
      <c r="F433">
        <v>0.45581246808006998</v>
      </c>
      <c r="G433">
        <v>-2.1106498013506498</v>
      </c>
      <c r="H433">
        <v>-1.8711497975532601</v>
      </c>
      <c r="I433">
        <v>-5.2971192859439999E-2</v>
      </c>
      <c r="J433">
        <v>3.83766483398153E-2</v>
      </c>
    </row>
    <row r="434" spans="1:10" hidden="1" x14ac:dyDescent="0.2">
      <c r="A434" t="s">
        <v>84</v>
      </c>
      <c r="B434" t="s">
        <v>17</v>
      </c>
      <c r="C434">
        <v>0</v>
      </c>
      <c r="D434" t="s">
        <v>88</v>
      </c>
      <c r="E434">
        <v>-1.097862994</v>
      </c>
      <c r="F434">
        <v>0.52219878442039103</v>
      </c>
      <c r="G434">
        <v>-2.1023851965081901</v>
      </c>
      <c r="H434">
        <v>-2.1393556293698301</v>
      </c>
      <c r="I434">
        <v>-5.6370358630173097E-2</v>
      </c>
      <c r="J434">
        <v>3.9117966745424303E-2</v>
      </c>
    </row>
    <row r="435" spans="1:10" hidden="1" x14ac:dyDescent="0.2">
      <c r="A435" t="s">
        <v>84</v>
      </c>
      <c r="B435" t="s">
        <v>17</v>
      </c>
      <c r="C435">
        <v>1</v>
      </c>
      <c r="D435" t="s">
        <v>135</v>
      </c>
      <c r="E435">
        <v>0.39422259279761901</v>
      </c>
      <c r="F435">
        <v>0.330864696952619</v>
      </c>
      <c r="G435">
        <v>1.1914918588430501</v>
      </c>
      <c r="H435">
        <v>-0.28247169294513302</v>
      </c>
      <c r="I435">
        <v>1.07091687854037</v>
      </c>
      <c r="J435">
        <v>0.24312087266537499</v>
      </c>
    </row>
    <row r="436" spans="1:10" hidden="1" x14ac:dyDescent="0.2">
      <c r="A436" t="s">
        <v>84</v>
      </c>
      <c r="B436" t="s">
        <v>17</v>
      </c>
      <c r="C436">
        <v>1</v>
      </c>
      <c r="D436" t="s">
        <v>143</v>
      </c>
      <c r="E436">
        <v>0.11168346185714299</v>
      </c>
      <c r="F436">
        <v>0.37185981686292002</v>
      </c>
      <c r="G436">
        <v>0.30033753794460899</v>
      </c>
      <c r="H436">
        <v>-0.64885525830894097</v>
      </c>
      <c r="I436">
        <v>0.87222218202322699</v>
      </c>
      <c r="J436">
        <v>0.766062227887643</v>
      </c>
    </row>
    <row r="437" spans="1:10" hidden="1" x14ac:dyDescent="0.2">
      <c r="A437" t="s">
        <v>84</v>
      </c>
      <c r="B437" t="s">
        <v>17</v>
      </c>
      <c r="C437">
        <v>1</v>
      </c>
      <c r="D437" t="s">
        <v>88</v>
      </c>
      <c r="E437">
        <v>0.43178497799999999</v>
      </c>
      <c r="F437">
        <v>0.37185981686292102</v>
      </c>
      <c r="G437">
        <v>1.1611498699768601</v>
      </c>
      <c r="H437">
        <v>-0.328753742166084</v>
      </c>
      <c r="I437">
        <v>1.1923236981660801</v>
      </c>
      <c r="J437">
        <v>0.255049814784016</v>
      </c>
    </row>
    <row r="438" spans="1:10" hidden="1" x14ac:dyDescent="0.2">
      <c r="A438" t="s">
        <v>84</v>
      </c>
      <c r="B438" t="s">
        <v>21</v>
      </c>
      <c r="C438">
        <v>0</v>
      </c>
      <c r="D438" t="s">
        <v>135</v>
      </c>
      <c r="E438">
        <v>-1.0113142938333299</v>
      </c>
      <c r="F438">
        <v>0.338264664512889</v>
      </c>
      <c r="G438">
        <v>-2.98971308543166</v>
      </c>
      <c r="H438">
        <v>-1.6859618943386701</v>
      </c>
      <c r="I438">
        <v>-0.33666669332799998</v>
      </c>
      <c r="J438">
        <v>3.8509413335215399E-3</v>
      </c>
    </row>
    <row r="439" spans="1:10" hidden="1" x14ac:dyDescent="0.2">
      <c r="A439" t="s">
        <v>84</v>
      </c>
      <c r="B439" t="s">
        <v>21</v>
      </c>
      <c r="C439">
        <v>0</v>
      </c>
      <c r="D439" t="s">
        <v>143</v>
      </c>
      <c r="E439">
        <v>-0.89084116109523903</v>
      </c>
      <c r="F439">
        <v>0.41137650723021701</v>
      </c>
      <c r="G439">
        <v>-2.1655129678970702</v>
      </c>
      <c r="H439">
        <v>-1.7113057340259901</v>
      </c>
      <c r="I439">
        <v>-7.0376588164486595E-2</v>
      </c>
      <c r="J439">
        <v>3.37579920336755E-2</v>
      </c>
    </row>
    <row r="440" spans="1:10" hidden="1" x14ac:dyDescent="0.2">
      <c r="A440" t="s">
        <v>84</v>
      </c>
      <c r="B440" t="s">
        <v>21</v>
      </c>
      <c r="C440">
        <v>0</v>
      </c>
      <c r="D440" t="s">
        <v>88</v>
      </c>
      <c r="E440">
        <v>-1.0949016388333299</v>
      </c>
      <c r="F440">
        <v>0.47129099587725398</v>
      </c>
      <c r="G440">
        <v>-2.3231965991527201</v>
      </c>
      <c r="H440">
        <v>-2.03486189145453</v>
      </c>
      <c r="I440">
        <v>-0.15494138621213699</v>
      </c>
      <c r="J440">
        <v>2.30795483059687E-2</v>
      </c>
    </row>
    <row r="441" spans="1:10" hidden="1" x14ac:dyDescent="0.2">
      <c r="A441" t="s">
        <v>84</v>
      </c>
      <c r="B441" t="s">
        <v>21</v>
      </c>
      <c r="C441">
        <v>1</v>
      </c>
      <c r="D441" t="s">
        <v>135</v>
      </c>
      <c r="E441">
        <v>0.638595248321428</v>
      </c>
      <c r="F441">
        <v>0.47505263213146398</v>
      </c>
      <c r="G441">
        <v>1.3442620988250999</v>
      </c>
      <c r="H441">
        <v>-0.33299647648700498</v>
      </c>
      <c r="I441">
        <v>1.6101869731298599</v>
      </c>
      <c r="J441">
        <v>0.18928567741091401</v>
      </c>
    </row>
    <row r="442" spans="1:10" hidden="1" x14ac:dyDescent="0.2">
      <c r="A442" t="s">
        <v>84</v>
      </c>
      <c r="B442" t="s">
        <v>21</v>
      </c>
      <c r="C442">
        <v>1</v>
      </c>
      <c r="D442" t="s">
        <v>143</v>
      </c>
      <c r="E442">
        <v>0.30855929199999999</v>
      </c>
      <c r="F442">
        <v>0.53391306601064004</v>
      </c>
      <c r="G442">
        <v>0.57792047365600596</v>
      </c>
      <c r="H442">
        <v>-0.78341553692691701</v>
      </c>
      <c r="I442">
        <v>1.40053412092692</v>
      </c>
      <c r="J442">
        <v>0.56777861989372902</v>
      </c>
    </row>
    <row r="443" spans="1:10" hidden="1" x14ac:dyDescent="0.2">
      <c r="A443" t="s">
        <v>84</v>
      </c>
      <c r="B443" t="s">
        <v>21</v>
      </c>
      <c r="C443">
        <v>1</v>
      </c>
      <c r="D443" t="s">
        <v>88</v>
      </c>
      <c r="E443">
        <v>0.579323380142857</v>
      </c>
      <c r="F443">
        <v>0.53391306601064104</v>
      </c>
      <c r="G443">
        <v>1.0850518877005899</v>
      </c>
      <c r="H443">
        <v>-0.51265144878405999</v>
      </c>
      <c r="I443">
        <v>1.6712982090697699</v>
      </c>
      <c r="J443">
        <v>0.28683677255393297</v>
      </c>
    </row>
    <row r="444" spans="1:10" hidden="1" x14ac:dyDescent="0.2">
      <c r="A444" t="s">
        <v>84</v>
      </c>
      <c r="B444" t="s">
        <v>29</v>
      </c>
      <c r="C444">
        <v>0</v>
      </c>
      <c r="D444" t="s">
        <v>135</v>
      </c>
      <c r="E444">
        <v>-0.50959326388383797</v>
      </c>
      <c r="F444">
        <v>0.36660462872668298</v>
      </c>
      <c r="G444">
        <v>-1.3900349967042001</v>
      </c>
      <c r="H444">
        <v>-1.2407631407634301</v>
      </c>
      <c r="I444">
        <v>0.22157661299575501</v>
      </c>
      <c r="J444">
        <v>0.168922858910144</v>
      </c>
    </row>
    <row r="445" spans="1:10" hidden="1" x14ac:dyDescent="0.2">
      <c r="A445" t="s">
        <v>84</v>
      </c>
      <c r="B445" t="s">
        <v>29</v>
      </c>
      <c r="C445">
        <v>0</v>
      </c>
      <c r="D445" t="s">
        <v>143</v>
      </c>
      <c r="E445">
        <v>5.8951596436508998E-2</v>
      </c>
      <c r="F445">
        <v>0.44584181418176799</v>
      </c>
      <c r="G445">
        <v>0.13222536460538101</v>
      </c>
      <c r="H445">
        <v>-0.83025186374700199</v>
      </c>
      <c r="I445">
        <v>0.94815505662001998</v>
      </c>
      <c r="J445">
        <v>0.89518537900449802</v>
      </c>
    </row>
    <row r="446" spans="1:10" hidden="1" x14ac:dyDescent="0.2">
      <c r="A446" t="s">
        <v>84</v>
      </c>
      <c r="B446" t="s">
        <v>29</v>
      </c>
      <c r="C446">
        <v>0</v>
      </c>
      <c r="D446" t="s">
        <v>88</v>
      </c>
      <c r="E446">
        <v>-0.25836896516666602</v>
      </c>
      <c r="F446">
        <v>0.51077596536609704</v>
      </c>
      <c r="G446">
        <v>-0.50583618393532004</v>
      </c>
      <c r="H446">
        <v>-1.27707950629356</v>
      </c>
      <c r="I446">
        <v>0.760341575960232</v>
      </c>
      <c r="J446">
        <v>0.61456092631883297</v>
      </c>
    </row>
    <row r="447" spans="1:10" hidden="1" x14ac:dyDescent="0.2">
      <c r="A447" t="s">
        <v>84</v>
      </c>
      <c r="B447" t="s">
        <v>29</v>
      </c>
      <c r="C447">
        <v>1</v>
      </c>
      <c r="D447" t="s">
        <v>135</v>
      </c>
      <c r="E447">
        <v>-0.43963545244047603</v>
      </c>
      <c r="F447">
        <v>0.27730459038858701</v>
      </c>
      <c r="G447">
        <v>-1.58538829748334</v>
      </c>
      <c r="H447">
        <v>-1.0067870206026801</v>
      </c>
      <c r="I447">
        <v>0.127516115721729</v>
      </c>
      <c r="J447">
        <v>0.123723680174922</v>
      </c>
    </row>
    <row r="448" spans="1:10" hidden="1" x14ac:dyDescent="0.2">
      <c r="A448" t="s">
        <v>84</v>
      </c>
      <c r="B448" t="s">
        <v>29</v>
      </c>
      <c r="C448">
        <v>1</v>
      </c>
      <c r="D448" t="s">
        <v>143</v>
      </c>
      <c r="E448">
        <v>-0.70238078314285701</v>
      </c>
      <c r="F448">
        <v>0.31166345381330901</v>
      </c>
      <c r="G448">
        <v>-2.25365141324396</v>
      </c>
      <c r="H448">
        <v>-1.33980411725129</v>
      </c>
      <c r="I448">
        <v>-6.4957449034421605E-2</v>
      </c>
      <c r="J448">
        <v>3.1948976690786599E-2</v>
      </c>
    </row>
    <row r="449" spans="1:11" hidden="1" x14ac:dyDescent="0.2">
      <c r="A449" t="s">
        <v>84</v>
      </c>
      <c r="B449" t="s">
        <v>29</v>
      </c>
      <c r="C449">
        <v>1</v>
      </c>
      <c r="D449" t="s">
        <v>88</v>
      </c>
      <c r="E449">
        <v>-0.55623568242857202</v>
      </c>
      <c r="F449">
        <v>0.31166345381330901</v>
      </c>
      <c r="G449">
        <v>-1.78473181767974</v>
      </c>
      <c r="H449">
        <v>-1.19365901653701</v>
      </c>
      <c r="I449">
        <v>8.1187651679863901E-2</v>
      </c>
      <c r="J449">
        <v>8.4770530927707796E-2</v>
      </c>
    </row>
    <row r="450" spans="1:11" hidden="1" x14ac:dyDescent="0.2">
      <c r="A450" t="s">
        <v>84</v>
      </c>
      <c r="B450" t="s">
        <v>18</v>
      </c>
      <c r="C450">
        <v>0</v>
      </c>
      <c r="D450" t="s">
        <v>135</v>
      </c>
      <c r="E450">
        <v>-0.49538668328282898</v>
      </c>
      <c r="F450">
        <v>0.32413059614522599</v>
      </c>
      <c r="G450">
        <v>-1.52835520365646</v>
      </c>
      <c r="H450">
        <v>-1.14184477329539</v>
      </c>
      <c r="I450">
        <v>0.15107140672972899</v>
      </c>
      <c r="J450">
        <v>0.130930807203755</v>
      </c>
    </row>
    <row r="451" spans="1:11" hidden="1" x14ac:dyDescent="0.2">
      <c r="A451" t="s">
        <v>84</v>
      </c>
      <c r="B451" t="s">
        <v>18</v>
      </c>
      <c r="C451">
        <v>0</v>
      </c>
      <c r="D451" t="s">
        <v>143</v>
      </c>
      <c r="E451">
        <v>-0.13591927448412799</v>
      </c>
      <c r="F451">
        <v>0.39418752981687999</v>
      </c>
      <c r="G451">
        <v>-0.34480866136802701</v>
      </c>
      <c r="H451">
        <v>-0.92210151294832499</v>
      </c>
      <c r="I451">
        <v>0.65026296398007</v>
      </c>
      <c r="J451">
        <v>0.73127209110494795</v>
      </c>
    </row>
    <row r="452" spans="1:11" hidden="1" x14ac:dyDescent="0.2">
      <c r="A452" t="s">
        <v>84</v>
      </c>
      <c r="B452" t="s">
        <v>18</v>
      </c>
      <c r="C452">
        <v>0</v>
      </c>
      <c r="D452" t="s">
        <v>88</v>
      </c>
      <c r="E452">
        <v>-0.42636777311111201</v>
      </c>
      <c r="F452">
        <v>0.45159854834837898</v>
      </c>
      <c r="G452">
        <v>-0.94413007896162804</v>
      </c>
      <c r="H452">
        <v>-1.32705267755911</v>
      </c>
      <c r="I452">
        <v>0.47431713133689002</v>
      </c>
      <c r="J452">
        <v>0.34835058089397303</v>
      </c>
    </row>
    <row r="453" spans="1:11" hidden="1" x14ac:dyDescent="0.2">
      <c r="A453" t="s">
        <v>84</v>
      </c>
      <c r="B453" t="s">
        <v>18</v>
      </c>
      <c r="C453">
        <v>1</v>
      </c>
      <c r="D453" t="s">
        <v>135</v>
      </c>
      <c r="E453">
        <v>-0.21112682577380901</v>
      </c>
      <c r="F453">
        <v>0.34631815457630299</v>
      </c>
      <c r="G453">
        <v>-0.60963256757968298</v>
      </c>
      <c r="H453">
        <v>-0.91942698112195997</v>
      </c>
      <c r="I453">
        <v>0.49717332957434202</v>
      </c>
      <c r="J453">
        <v>0.54685252396947404</v>
      </c>
    </row>
    <row r="454" spans="1:11" hidden="1" x14ac:dyDescent="0.2">
      <c r="A454" t="s">
        <v>84</v>
      </c>
      <c r="B454" t="s">
        <v>18</v>
      </c>
      <c r="C454">
        <v>1</v>
      </c>
      <c r="D454" t="s">
        <v>143</v>
      </c>
      <c r="E454">
        <v>-0.46123473642857099</v>
      </c>
      <c r="F454">
        <v>0.38922800384318601</v>
      </c>
      <c r="G454">
        <v>-1.1849988486809799</v>
      </c>
      <c r="H454">
        <v>-1.2572953874368</v>
      </c>
      <c r="I454">
        <v>0.33482591457965399</v>
      </c>
      <c r="J454">
        <v>0.24563828413373301</v>
      </c>
    </row>
    <row r="455" spans="1:11" hidden="1" x14ac:dyDescent="0.2">
      <c r="A455" t="s">
        <v>84</v>
      </c>
      <c r="B455" t="s">
        <v>18</v>
      </c>
      <c r="C455">
        <v>1</v>
      </c>
      <c r="D455" t="s">
        <v>88</v>
      </c>
      <c r="E455">
        <v>-0.40830455214285699</v>
      </c>
      <c r="F455">
        <v>0.38922800384318601</v>
      </c>
      <c r="G455">
        <v>-1.04901124305372</v>
      </c>
      <c r="H455">
        <v>-1.2043652031510801</v>
      </c>
      <c r="I455">
        <v>0.38775609886536899</v>
      </c>
      <c r="J455">
        <v>0.30283705330032901</v>
      </c>
    </row>
    <row r="456" spans="1:11" hidden="1" x14ac:dyDescent="0.2">
      <c r="A456" t="s">
        <v>84</v>
      </c>
      <c r="B456" t="s">
        <v>14</v>
      </c>
      <c r="C456">
        <v>0</v>
      </c>
      <c r="D456" t="s">
        <v>135</v>
      </c>
      <c r="E456">
        <v>-0.39864944874242503</v>
      </c>
      <c r="F456">
        <v>0.319442091850549</v>
      </c>
      <c r="G456">
        <v>-1.24795529115472</v>
      </c>
      <c r="H456">
        <v>-1.03575661179098</v>
      </c>
      <c r="I456">
        <v>0.23845771430613</v>
      </c>
      <c r="J456">
        <v>0.21620584609749499</v>
      </c>
    </row>
    <row r="457" spans="1:11" hidden="1" x14ac:dyDescent="0.2">
      <c r="A457" t="s">
        <v>84</v>
      </c>
      <c r="B457" t="s">
        <v>14</v>
      </c>
      <c r="C457">
        <v>0</v>
      </c>
      <c r="D457" t="s">
        <v>143</v>
      </c>
      <c r="E457">
        <v>-6.30147035476194E-2</v>
      </c>
      <c r="F457">
        <v>0.38848566165499099</v>
      </c>
      <c r="G457">
        <v>-0.162205995658038</v>
      </c>
      <c r="H457">
        <v>-0.83782492454331703</v>
      </c>
      <c r="I457">
        <v>0.71179551744807901</v>
      </c>
      <c r="J457">
        <v>0.87161095407134104</v>
      </c>
    </row>
    <row r="458" spans="1:11" hidden="1" x14ac:dyDescent="0.2">
      <c r="A458" t="s">
        <v>84</v>
      </c>
      <c r="B458" t="s">
        <v>14</v>
      </c>
      <c r="C458">
        <v>0</v>
      </c>
      <c r="D458" t="s">
        <v>88</v>
      </c>
      <c r="E458">
        <v>-0.152477106277778</v>
      </c>
      <c r="F458">
        <v>0.44506623773475001</v>
      </c>
      <c r="G458">
        <v>-0.34259418789850199</v>
      </c>
      <c r="H458">
        <v>-1.0401337280123399</v>
      </c>
      <c r="I458">
        <v>0.73517951545678395</v>
      </c>
      <c r="J458">
        <v>0.73293039145370797</v>
      </c>
    </row>
    <row r="459" spans="1:11" hidden="1" x14ac:dyDescent="0.2">
      <c r="A459" t="s">
        <v>84</v>
      </c>
      <c r="B459" t="s">
        <v>14</v>
      </c>
      <c r="C459">
        <v>1</v>
      </c>
      <c r="D459" t="s">
        <v>135</v>
      </c>
      <c r="E459">
        <v>-0.23274820752380901</v>
      </c>
      <c r="F459">
        <v>0.36785189863199202</v>
      </c>
      <c r="G459">
        <v>-0.63272259403683695</v>
      </c>
      <c r="H459">
        <v>-0.98508981452075295</v>
      </c>
      <c r="I459">
        <v>0.51959339947313399</v>
      </c>
      <c r="J459">
        <v>0.53187261608026004</v>
      </c>
    </row>
    <row r="460" spans="1:11" hidden="1" x14ac:dyDescent="0.2">
      <c r="A460" t="s">
        <v>84</v>
      </c>
      <c r="B460" t="s">
        <v>14</v>
      </c>
      <c r="C460">
        <v>1</v>
      </c>
      <c r="D460" t="s">
        <v>143</v>
      </c>
      <c r="E460">
        <v>-0.31019342342857198</v>
      </c>
      <c r="F460">
        <v>0.413429842826533</v>
      </c>
      <c r="G460">
        <v>-0.75029277351592205</v>
      </c>
      <c r="H460">
        <v>-1.15575239291966</v>
      </c>
      <c r="I460">
        <v>0.53536554606251896</v>
      </c>
      <c r="J460">
        <v>0.45912295644073903</v>
      </c>
    </row>
    <row r="461" spans="1:11" hidden="1" x14ac:dyDescent="0.2">
      <c r="A461" t="s">
        <v>84</v>
      </c>
      <c r="B461" t="s">
        <v>14</v>
      </c>
      <c r="C461">
        <v>1</v>
      </c>
      <c r="D461" t="s">
        <v>88</v>
      </c>
      <c r="E461">
        <v>-0.45488110328571502</v>
      </c>
      <c r="F461">
        <v>0.413429842826533</v>
      </c>
      <c r="G461">
        <v>-1.1002618973410001</v>
      </c>
      <c r="H461">
        <v>-1.30044007277681</v>
      </c>
      <c r="I461">
        <v>0.39067786620537598</v>
      </c>
      <c r="J461">
        <v>0.28026761833219899</v>
      </c>
    </row>
    <row r="462" spans="1:11" x14ac:dyDescent="0.2">
      <c r="A462" s="66" t="s">
        <v>10</v>
      </c>
      <c r="B462" s="138" t="s">
        <v>252</v>
      </c>
      <c r="C462" s="41" t="s">
        <v>66</v>
      </c>
      <c r="D462" s="41" t="s">
        <v>12</v>
      </c>
      <c r="E462" s="41">
        <v>-0.56873889960756097</v>
      </c>
      <c r="F462" s="41">
        <v>0.29151960777422098</v>
      </c>
      <c r="G462" s="41">
        <v>-1.9509456120291</v>
      </c>
      <c r="H462" s="41">
        <v>-1.1467684305130299</v>
      </c>
      <c r="I462" s="41">
        <v>9.2906312979064206E-3</v>
      </c>
      <c r="J462" s="41">
        <v>5.3728407350492197E-2</v>
      </c>
      <c r="K462" s="41" t="s">
        <v>200</v>
      </c>
    </row>
    <row r="463" spans="1:11" x14ac:dyDescent="0.2">
      <c r="A463" s="157" t="s">
        <v>10</v>
      </c>
      <c r="B463" s="145" t="s">
        <v>252</v>
      </c>
      <c r="C463" s="160" t="s">
        <v>64</v>
      </c>
      <c r="D463" s="149" t="s">
        <v>12</v>
      </c>
      <c r="E463" s="149">
        <v>-0.88864877400258002</v>
      </c>
      <c r="F463" s="149">
        <v>0.38524860515091303</v>
      </c>
      <c r="G463" s="149">
        <v>-2.3066891407808501</v>
      </c>
      <c r="H463" s="149">
        <v>-1.65662783247823</v>
      </c>
      <c r="I463" s="149">
        <v>-0.12066971552693</v>
      </c>
      <c r="J463" s="149">
        <v>2.3952381840894401E-2</v>
      </c>
      <c r="K463" s="149" t="s">
        <v>61</v>
      </c>
    </row>
    <row r="464" spans="1:11" x14ac:dyDescent="0.2">
      <c r="A464" s="157" t="s">
        <v>10</v>
      </c>
      <c r="B464" s="145" t="s">
        <v>252</v>
      </c>
      <c r="C464" s="159" t="s">
        <v>65</v>
      </c>
      <c r="D464" s="77" t="s">
        <v>12</v>
      </c>
      <c r="E464" s="77">
        <v>0.24864167267582399</v>
      </c>
      <c r="F464" s="77">
        <v>0.33597693471795897</v>
      </c>
      <c r="G464" s="77">
        <v>0.74005578056883703</v>
      </c>
      <c r="H464" s="77">
        <v>-0.43658780336050101</v>
      </c>
      <c r="I464" s="77">
        <v>0.93387114871215005</v>
      </c>
      <c r="J464" s="77">
        <v>0.46483437624846602</v>
      </c>
      <c r="K464" s="77"/>
    </row>
    <row r="465" spans="1:11" x14ac:dyDescent="0.2">
      <c r="A465" s="66" t="s">
        <v>10</v>
      </c>
      <c r="B465" s="139" t="s">
        <v>253</v>
      </c>
      <c r="C465" s="42" t="s">
        <v>66</v>
      </c>
      <c r="D465" s="42" t="s">
        <v>12</v>
      </c>
      <c r="E465" s="42">
        <v>-0.35041112445122002</v>
      </c>
      <c r="F465" s="42">
        <v>0.26486909769200001</v>
      </c>
      <c r="G465" s="42">
        <v>-1.32295963366286</v>
      </c>
      <c r="H465" s="42">
        <v>-0.87559761691122995</v>
      </c>
      <c r="I465" s="42">
        <v>0.17477536800879101</v>
      </c>
      <c r="J465" s="42">
        <v>0.188722715830899</v>
      </c>
      <c r="K465" s="42"/>
    </row>
    <row r="466" spans="1:11" x14ac:dyDescent="0.2">
      <c r="A466" s="157" t="s">
        <v>10</v>
      </c>
      <c r="B466" s="146" t="s">
        <v>253</v>
      </c>
      <c r="C466" s="160" t="s">
        <v>64</v>
      </c>
      <c r="D466" s="149" t="s">
        <v>12</v>
      </c>
      <c r="E466" s="149">
        <v>-0.74963976356349304</v>
      </c>
      <c r="F466" s="149">
        <v>0.326300070385797</v>
      </c>
      <c r="G466" s="149">
        <v>-2.2973938150769202</v>
      </c>
      <c r="H466" s="149">
        <v>-1.40010706567678</v>
      </c>
      <c r="I466" s="149">
        <v>-9.9172461450202407E-2</v>
      </c>
      <c r="J466" s="149">
        <v>2.45056192459049E-2</v>
      </c>
      <c r="K466" s="149" t="s">
        <v>61</v>
      </c>
    </row>
    <row r="467" spans="1:11" x14ac:dyDescent="0.2">
      <c r="A467" s="157" t="s">
        <v>10</v>
      </c>
      <c r="B467" s="146" t="s">
        <v>253</v>
      </c>
      <c r="C467" s="159" t="s">
        <v>65</v>
      </c>
      <c r="D467" s="77" t="s">
        <v>12</v>
      </c>
      <c r="E467" s="77">
        <v>0.62213732066483596</v>
      </c>
      <c r="F467" s="77">
        <v>0.41234760594251102</v>
      </c>
      <c r="G467" s="77">
        <v>1.50876908632173</v>
      </c>
      <c r="H467" s="77">
        <v>-0.218851166244283</v>
      </c>
      <c r="I467" s="77">
        <v>1.4631258075739499</v>
      </c>
      <c r="J467" s="77">
        <v>0.141483255189366</v>
      </c>
      <c r="K467" s="77"/>
    </row>
    <row r="468" spans="1:11" x14ac:dyDescent="0.2">
      <c r="A468" s="66" t="s">
        <v>10</v>
      </c>
      <c r="B468" s="140" t="s">
        <v>254</v>
      </c>
      <c r="C468" s="42" t="s">
        <v>66</v>
      </c>
      <c r="D468" s="42" t="s">
        <v>12</v>
      </c>
      <c r="E468" s="42">
        <v>-0.37066908223268302</v>
      </c>
      <c r="F468" s="42">
        <v>0.240995013206905</v>
      </c>
      <c r="G468" s="42">
        <v>-1.5380778104086601</v>
      </c>
      <c r="H468" s="42">
        <v>-0.848517675327774</v>
      </c>
      <c r="I468" s="42">
        <v>0.107179510862409</v>
      </c>
      <c r="J468" s="42">
        <v>0.12703774274535201</v>
      </c>
      <c r="K468" s="42"/>
    </row>
    <row r="469" spans="1:11" x14ac:dyDescent="0.2">
      <c r="A469" s="157" t="s">
        <v>10</v>
      </c>
      <c r="B469" s="147" t="s">
        <v>254</v>
      </c>
      <c r="C469" s="159" t="s">
        <v>64</v>
      </c>
      <c r="D469" s="77" t="s">
        <v>12</v>
      </c>
      <c r="E469" s="77">
        <v>-0.40671625776984199</v>
      </c>
      <c r="F469" s="77">
        <v>0.30141887926465699</v>
      </c>
      <c r="G469" s="77">
        <v>-1.34933902867023</v>
      </c>
      <c r="H469" s="77">
        <v>-1.0075838118879901</v>
      </c>
      <c r="I469" s="77">
        <v>0.194151296348306</v>
      </c>
      <c r="J469" s="77">
        <v>0.18145598827802401</v>
      </c>
      <c r="K469" s="77"/>
    </row>
    <row r="470" spans="1:11" x14ac:dyDescent="0.2">
      <c r="A470" s="157" t="s">
        <v>10</v>
      </c>
      <c r="B470" s="147" t="s">
        <v>254</v>
      </c>
      <c r="C470" s="159" t="s">
        <v>65</v>
      </c>
      <c r="D470" s="77" t="s">
        <v>12</v>
      </c>
      <c r="E470" s="77">
        <v>-0.28729797268681301</v>
      </c>
      <c r="F470" s="77">
        <v>0.40200835523037898</v>
      </c>
      <c r="G470" s="77">
        <v>-0.71465672031162397</v>
      </c>
      <c r="H470" s="77">
        <v>-1.10719941874287</v>
      </c>
      <c r="I470" s="77">
        <v>0.53260347336924896</v>
      </c>
      <c r="J470" s="77">
        <v>0.48016869286991598</v>
      </c>
      <c r="K470" s="77"/>
    </row>
    <row r="471" spans="1:11" x14ac:dyDescent="0.2">
      <c r="A471" s="66" t="s">
        <v>10</v>
      </c>
      <c r="B471" s="141" t="s">
        <v>255</v>
      </c>
      <c r="C471" s="42" t="s">
        <v>66</v>
      </c>
      <c r="D471" s="42" t="s">
        <v>12</v>
      </c>
      <c r="E471" s="42">
        <v>3.01797895658532E-2</v>
      </c>
      <c r="F471" s="42">
        <v>0.23907227103986101</v>
      </c>
      <c r="G471" s="42">
        <v>0.126237097403995</v>
      </c>
      <c r="H471" s="42">
        <v>-0.44385636099285303</v>
      </c>
      <c r="I471" s="42">
        <v>0.50421594012455895</v>
      </c>
      <c r="J471" s="42">
        <v>0.89978565634823404</v>
      </c>
      <c r="K471" s="42"/>
    </row>
    <row r="472" spans="1:11" x14ac:dyDescent="0.2">
      <c r="A472" s="157" t="s">
        <v>10</v>
      </c>
      <c r="B472" s="148" t="s">
        <v>255</v>
      </c>
      <c r="C472" s="159" t="s">
        <v>64</v>
      </c>
      <c r="D472" s="77" t="s">
        <v>12</v>
      </c>
      <c r="E472" s="77">
        <v>-0.257779212857143</v>
      </c>
      <c r="F472" s="77">
        <v>0.200851842629519</v>
      </c>
      <c r="G472" s="77">
        <v>-1.2834296637877001</v>
      </c>
      <c r="H472" s="77">
        <v>-0.65817004343599195</v>
      </c>
      <c r="I472" s="77">
        <v>0.142611617721706</v>
      </c>
      <c r="J472" s="77">
        <v>0.20345704989038699</v>
      </c>
      <c r="K472" s="77"/>
    </row>
    <row r="473" spans="1:11" x14ac:dyDescent="0.2">
      <c r="A473" s="157" t="s">
        <v>10</v>
      </c>
      <c r="B473" s="148" t="s">
        <v>255</v>
      </c>
      <c r="C473" s="159" t="s">
        <v>65</v>
      </c>
      <c r="D473" s="77" t="s">
        <v>12</v>
      </c>
      <c r="E473" s="77">
        <v>0.69341986246153997</v>
      </c>
      <c r="F473" s="77">
        <v>0.63385499591251604</v>
      </c>
      <c r="G473" s="77">
        <v>1.09397238632358</v>
      </c>
      <c r="H473" s="77">
        <v>-0.59933592476757702</v>
      </c>
      <c r="I473" s="77">
        <v>1.98617564969066</v>
      </c>
      <c r="J473" s="77">
        <v>0.28239500577951299</v>
      </c>
      <c r="K473" s="77"/>
    </row>
    <row r="474" spans="1:11" hidden="1" x14ac:dyDescent="0.2">
      <c r="A474" s="66" t="s">
        <v>10</v>
      </c>
      <c r="B474" s="129" t="s">
        <v>26</v>
      </c>
      <c r="C474" s="41" t="s">
        <v>66</v>
      </c>
      <c r="D474" s="41" t="s">
        <v>12</v>
      </c>
      <c r="E474" s="41">
        <v>-0.47380184888878102</v>
      </c>
      <c r="F474" s="41">
        <v>0.26938266661091498</v>
      </c>
      <c r="G474" s="41">
        <v>-1.7588431165584999</v>
      </c>
      <c r="H474" s="41">
        <v>-1.0079379147405401</v>
      </c>
      <c r="I474" s="41">
        <v>6.03342169629816E-2</v>
      </c>
      <c r="J474" s="41">
        <v>8.1517414325397705E-2</v>
      </c>
      <c r="K474" s="41" t="s">
        <v>200</v>
      </c>
    </row>
    <row r="475" spans="1:11" hidden="1" x14ac:dyDescent="0.2">
      <c r="A475" s="157" t="s">
        <v>10</v>
      </c>
      <c r="B475" s="150" t="s">
        <v>26</v>
      </c>
      <c r="C475" s="160" t="s">
        <v>64</v>
      </c>
      <c r="D475" s="149" t="s">
        <v>12</v>
      </c>
      <c r="E475" s="149">
        <v>-0.83416357154960397</v>
      </c>
      <c r="F475" s="149">
        <v>0.34512583649384898</v>
      </c>
      <c r="G475" s="149">
        <v>-2.4169838457297601</v>
      </c>
      <c r="H475" s="149">
        <v>-1.52215935251379</v>
      </c>
      <c r="I475" s="149">
        <v>-0.14616779058541399</v>
      </c>
      <c r="J475" s="149">
        <v>1.81844739316687E-2</v>
      </c>
      <c r="K475" s="149" t="s">
        <v>61</v>
      </c>
    </row>
    <row r="476" spans="1:11" hidden="1" x14ac:dyDescent="0.2">
      <c r="A476" s="157" t="s">
        <v>10</v>
      </c>
      <c r="B476" s="150" t="s">
        <v>26</v>
      </c>
      <c r="C476" s="159" t="s">
        <v>65</v>
      </c>
      <c r="D476" s="77" t="s">
        <v>12</v>
      </c>
      <c r="E476" s="77">
        <v>0.420534557126374</v>
      </c>
      <c r="F476" s="77">
        <v>0.36643203720303302</v>
      </c>
      <c r="G476" s="77">
        <v>1.14764680603886</v>
      </c>
      <c r="H476" s="77">
        <v>-0.326808509939641</v>
      </c>
      <c r="I476" s="77">
        <v>1.1678776241923901</v>
      </c>
      <c r="J476" s="77">
        <v>0.259894348280097</v>
      </c>
      <c r="K476" s="77"/>
    </row>
    <row r="477" spans="1:11" hidden="1" x14ac:dyDescent="0.2">
      <c r="A477" s="66" t="s">
        <v>10</v>
      </c>
      <c r="B477" s="128" t="s">
        <v>17</v>
      </c>
      <c r="C477" s="43" t="s">
        <v>66</v>
      </c>
      <c r="D477" s="43" t="s">
        <v>12</v>
      </c>
      <c r="E477" s="43">
        <v>-0.60825251854585405</v>
      </c>
      <c r="F477" s="43">
        <v>0.26001214840498199</v>
      </c>
      <c r="G477" s="43">
        <v>-2.3393234596041599</v>
      </c>
      <c r="H477" s="43">
        <v>-1.12380857777552</v>
      </c>
      <c r="I477" s="43">
        <v>-9.2696459316190499E-2</v>
      </c>
      <c r="J477" s="43">
        <v>2.1211129463681699E-2</v>
      </c>
      <c r="K477" s="43" t="s">
        <v>61</v>
      </c>
    </row>
    <row r="478" spans="1:11" hidden="1" x14ac:dyDescent="0.2">
      <c r="A478" s="157" t="s">
        <v>10</v>
      </c>
      <c r="B478" s="151" t="s">
        <v>17</v>
      </c>
      <c r="C478" s="160" t="s">
        <v>64</v>
      </c>
      <c r="D478" s="149" t="s">
        <v>12</v>
      </c>
      <c r="E478" s="149">
        <v>-0.98952885011706504</v>
      </c>
      <c r="F478" s="149">
        <v>0.341916483175918</v>
      </c>
      <c r="G478" s="149">
        <v>-2.8940659453611302</v>
      </c>
      <c r="H478" s="149">
        <v>-1.67112690216941</v>
      </c>
      <c r="I478" s="149">
        <v>-0.30793079806471602</v>
      </c>
      <c r="J478" s="149">
        <v>5.0292339621301196E-3</v>
      </c>
      <c r="K478" s="149" t="s">
        <v>61</v>
      </c>
    </row>
    <row r="479" spans="1:11" hidden="1" x14ac:dyDescent="0.2">
      <c r="A479" s="157" t="s">
        <v>10</v>
      </c>
      <c r="B479" s="151" t="s">
        <v>17</v>
      </c>
      <c r="C479" s="159" t="s">
        <v>65</v>
      </c>
      <c r="D479" s="77" t="s">
        <v>12</v>
      </c>
      <c r="E479" s="77">
        <v>0.328267315098902</v>
      </c>
      <c r="F479" s="77">
        <v>0.29113141685997301</v>
      </c>
      <c r="G479" s="77">
        <v>1.1275571652123999</v>
      </c>
      <c r="H479" s="77">
        <v>-0.26549912425545102</v>
      </c>
      <c r="I479" s="77">
        <v>0.92203375445325397</v>
      </c>
      <c r="J479" s="77">
        <v>0.26815893197007501</v>
      </c>
      <c r="K479" s="77"/>
    </row>
    <row r="480" spans="1:11" hidden="1" x14ac:dyDescent="0.2">
      <c r="A480" s="66" t="s">
        <v>10</v>
      </c>
      <c r="B480" s="124" t="s">
        <v>21</v>
      </c>
      <c r="C480" s="43" t="s">
        <v>66</v>
      </c>
      <c r="D480" s="43" t="s">
        <v>12</v>
      </c>
      <c r="E480" s="43">
        <v>-0.54720705988097595</v>
      </c>
      <c r="F480" s="43">
        <v>0.25707156396108699</v>
      </c>
      <c r="G480" s="43">
        <v>-2.1286176170142501</v>
      </c>
      <c r="H480" s="43">
        <v>-1.0569324833614</v>
      </c>
      <c r="I480" s="43">
        <v>-3.7481636400552701E-2</v>
      </c>
      <c r="J480" s="43">
        <v>3.5624772451653602E-2</v>
      </c>
      <c r="K480" s="43" t="s">
        <v>61</v>
      </c>
    </row>
    <row r="481" spans="1:11" hidden="1" x14ac:dyDescent="0.2">
      <c r="A481" s="157" t="s">
        <v>10</v>
      </c>
      <c r="B481" s="152" t="s">
        <v>21</v>
      </c>
      <c r="C481" s="160" t="s">
        <v>64</v>
      </c>
      <c r="D481" s="149" t="s">
        <v>12</v>
      </c>
      <c r="E481" s="149">
        <v>-0.99462969109523902</v>
      </c>
      <c r="F481" s="149">
        <v>0.30882710228453802</v>
      </c>
      <c r="G481" s="149">
        <v>-3.2206684055172001</v>
      </c>
      <c r="H481" s="149">
        <v>-1.61026526789722</v>
      </c>
      <c r="I481" s="149">
        <v>-0.37899411429325403</v>
      </c>
      <c r="J481" s="149">
        <v>1.92047575214208E-3</v>
      </c>
      <c r="K481" s="149" t="s">
        <v>61</v>
      </c>
    </row>
    <row r="482" spans="1:11" hidden="1" x14ac:dyDescent="0.2">
      <c r="A482" s="157" t="s">
        <v>10</v>
      </c>
      <c r="B482" s="152" t="s">
        <v>21</v>
      </c>
      <c r="C482" s="159" t="s">
        <v>65</v>
      </c>
      <c r="D482" s="77" t="s">
        <v>12</v>
      </c>
      <c r="E482" s="77">
        <v>0.53378160326373802</v>
      </c>
      <c r="F482" s="77">
        <v>0.41493008593557701</v>
      </c>
      <c r="G482" s="77">
        <v>1.2864374538187</v>
      </c>
      <c r="H482" s="77">
        <v>-0.31247388631628797</v>
      </c>
      <c r="I482" s="77">
        <v>1.38003709284376</v>
      </c>
      <c r="J482" s="77">
        <v>0.20781530489088301</v>
      </c>
      <c r="K482" s="77"/>
    </row>
    <row r="483" spans="1:11" x14ac:dyDescent="0.2">
      <c r="A483" s="66" t="s">
        <v>10</v>
      </c>
      <c r="B483" s="142" t="s">
        <v>29</v>
      </c>
      <c r="C483" s="42" t="s">
        <v>66</v>
      </c>
      <c r="D483" s="42" t="s">
        <v>12</v>
      </c>
      <c r="E483" s="42">
        <v>-0.40181288445121999</v>
      </c>
      <c r="F483" s="42">
        <v>0.25016166631189002</v>
      </c>
      <c r="G483" s="42">
        <v>-1.6062128557708699</v>
      </c>
      <c r="H483" s="42">
        <v>-0.89783725733245401</v>
      </c>
      <c r="I483" s="42">
        <v>9.4211488430015103E-2</v>
      </c>
      <c r="J483" s="42">
        <v>0.11123047904258999</v>
      </c>
      <c r="K483" s="42"/>
    </row>
    <row r="484" spans="1:11" x14ac:dyDescent="0.2">
      <c r="A484" s="157" t="s">
        <v>10</v>
      </c>
      <c r="B484" s="154" t="s">
        <v>29</v>
      </c>
      <c r="C484" s="159" t="s">
        <v>64</v>
      </c>
      <c r="D484" s="77" t="s">
        <v>12</v>
      </c>
      <c r="E484" s="77">
        <v>-0.32708171508134998</v>
      </c>
      <c r="F484" s="77">
        <v>0.33914008860259698</v>
      </c>
      <c r="G484" s="77">
        <v>-0.96444426970891906</v>
      </c>
      <c r="H484" s="77">
        <v>-1.0031451257051101</v>
      </c>
      <c r="I484" s="77">
        <v>0.34898169554240599</v>
      </c>
      <c r="J484" s="77">
        <v>0.33805142823770601</v>
      </c>
      <c r="K484" s="77"/>
    </row>
    <row r="485" spans="1:11" x14ac:dyDescent="0.2">
      <c r="A485" s="157" t="s">
        <v>10</v>
      </c>
      <c r="B485" s="154" t="s">
        <v>29</v>
      </c>
      <c r="C485" s="160" t="s">
        <v>65</v>
      </c>
      <c r="D485" s="149" t="s">
        <v>12</v>
      </c>
      <c r="E485" s="149">
        <v>-0.54176694954945004</v>
      </c>
      <c r="F485" s="149">
        <v>0.243849813028822</v>
      </c>
      <c r="G485" s="149">
        <v>-2.2217238669172801</v>
      </c>
      <c r="H485" s="149">
        <v>-1.03910192212298</v>
      </c>
      <c r="I485" s="149">
        <v>-4.4431976975917498E-2</v>
      </c>
      <c r="J485" s="149">
        <v>3.3736475285644003E-2</v>
      </c>
      <c r="K485" s="149" t="s">
        <v>61</v>
      </c>
    </row>
    <row r="486" spans="1:11" hidden="1" x14ac:dyDescent="0.2">
      <c r="A486" s="66" t="s">
        <v>10</v>
      </c>
      <c r="B486" s="118" t="s">
        <v>18</v>
      </c>
      <c r="C486" s="41" t="s">
        <v>66</v>
      </c>
      <c r="D486" s="41" t="s">
        <v>12</v>
      </c>
      <c r="E486" s="41">
        <v>-0.39020540012731703</v>
      </c>
      <c r="F486" s="41">
        <v>0.229402887404769</v>
      </c>
      <c r="G486" s="41">
        <v>-1.7009611541585401</v>
      </c>
      <c r="H486" s="41">
        <v>-0.84506894912617803</v>
      </c>
      <c r="I486" s="41">
        <v>6.46581488715436E-2</v>
      </c>
      <c r="J486" s="41">
        <v>9.1910082649873895E-2</v>
      </c>
      <c r="K486" s="41" t="s">
        <v>200</v>
      </c>
    </row>
    <row r="487" spans="1:11" hidden="1" x14ac:dyDescent="0.2">
      <c r="A487" s="157" t="s">
        <v>10</v>
      </c>
      <c r="B487" s="155" t="s">
        <v>18</v>
      </c>
      <c r="C487" s="159" t="s">
        <v>64</v>
      </c>
      <c r="D487" s="77" t="s">
        <v>12</v>
      </c>
      <c r="E487" s="77">
        <v>-0.39442750623412698</v>
      </c>
      <c r="F487" s="77">
        <v>0.29772840242432902</v>
      </c>
      <c r="G487" s="77">
        <v>-1.32478965064267</v>
      </c>
      <c r="H487" s="77">
        <v>-0.98793822922747199</v>
      </c>
      <c r="I487" s="77">
        <v>0.199083216759218</v>
      </c>
      <c r="J487" s="77">
        <v>0.189430309486007</v>
      </c>
      <c r="K487" s="77"/>
    </row>
    <row r="488" spans="1:11" hidden="1" x14ac:dyDescent="0.2">
      <c r="A488" s="157" t="s">
        <v>10</v>
      </c>
      <c r="B488" s="155" t="s">
        <v>18</v>
      </c>
      <c r="C488" s="159" t="s">
        <v>65</v>
      </c>
      <c r="D488" s="77" t="s">
        <v>12</v>
      </c>
      <c r="E488" s="77">
        <v>-0.33154988189560403</v>
      </c>
      <c r="F488" s="77">
        <v>0.30313047659862102</v>
      </c>
      <c r="G488" s="77">
        <v>-1.0937530452756601</v>
      </c>
      <c r="H488" s="77">
        <v>-0.94978856493104302</v>
      </c>
      <c r="I488" s="77">
        <v>0.28668880113983403</v>
      </c>
      <c r="J488" s="77">
        <v>0.28248971647056798</v>
      </c>
      <c r="K488" s="77"/>
    </row>
    <row r="489" spans="1:11" hidden="1" x14ac:dyDescent="0.2">
      <c r="A489" s="66" t="s">
        <v>10</v>
      </c>
      <c r="B489" s="120" t="s">
        <v>14</v>
      </c>
      <c r="C489" s="42" t="s">
        <v>66</v>
      </c>
      <c r="D489" s="42" t="s">
        <v>12</v>
      </c>
      <c r="E489" s="42">
        <v>-0.301015064041464</v>
      </c>
      <c r="F489" s="42">
        <v>0.22920124320471599</v>
      </c>
      <c r="G489" s="42">
        <v>-1.3133221261483501</v>
      </c>
      <c r="H489" s="42">
        <v>-0.75547878984058903</v>
      </c>
      <c r="I489" s="42">
        <v>0.153448661757661</v>
      </c>
      <c r="J489" s="42">
        <v>0.19193714216093899</v>
      </c>
      <c r="K489" s="42"/>
    </row>
    <row r="490" spans="1:11" hidden="1" x14ac:dyDescent="0.2">
      <c r="A490" s="157" t="s">
        <v>10</v>
      </c>
      <c r="B490" s="121" t="s">
        <v>14</v>
      </c>
      <c r="C490" s="159" t="s">
        <v>64</v>
      </c>
      <c r="D490" s="77" t="s">
        <v>12</v>
      </c>
      <c r="E490" s="77">
        <v>-0.27517735026190498</v>
      </c>
      <c r="F490" s="77">
        <v>0.29346429306733002</v>
      </c>
      <c r="G490" s="77">
        <v>-0.937685969852459</v>
      </c>
      <c r="H490" s="77">
        <v>-0.86018772660780896</v>
      </c>
      <c r="I490" s="77">
        <v>0.30983302608399899</v>
      </c>
      <c r="J490" s="77">
        <v>0.35154065995892297</v>
      </c>
      <c r="K490" s="77"/>
    </row>
    <row r="491" spans="1:11" hidden="1" x14ac:dyDescent="0.2">
      <c r="A491" s="157" t="s">
        <v>10</v>
      </c>
      <c r="B491" s="121" t="s">
        <v>14</v>
      </c>
      <c r="C491" s="159" t="s">
        <v>65</v>
      </c>
      <c r="D491" s="77" t="s">
        <v>12</v>
      </c>
      <c r="E491" s="77">
        <v>-0.31340385297252699</v>
      </c>
      <c r="F491" s="77">
        <v>0.32054568149159601</v>
      </c>
      <c r="G491" s="77">
        <v>-0.97771977932806498</v>
      </c>
      <c r="H491" s="77">
        <v>-0.96716108055893801</v>
      </c>
      <c r="I491" s="77">
        <v>0.34035337461388299</v>
      </c>
      <c r="J491" s="77">
        <v>0.33578171165252202</v>
      </c>
      <c r="K491" s="77"/>
    </row>
    <row r="492" spans="1:11" hidden="1" x14ac:dyDescent="0.2">
      <c r="A492" s="72" t="s">
        <v>275</v>
      </c>
      <c r="B492" s="138" t="s">
        <v>252</v>
      </c>
      <c r="C492" s="42" t="s">
        <v>66</v>
      </c>
      <c r="D492" s="42" t="s">
        <v>275</v>
      </c>
      <c r="E492" s="42">
        <v>0.192592380431585</v>
      </c>
      <c r="F492" s="42">
        <v>0.11686172143804199</v>
      </c>
      <c r="G492" s="42">
        <v>1.6480364833038501</v>
      </c>
      <c r="H492" s="42">
        <v>-3.9122825757747302E-2</v>
      </c>
      <c r="I492" s="42">
        <v>0.424307586620917</v>
      </c>
      <c r="J492" s="42">
        <v>0.102334463527091</v>
      </c>
      <c r="K492" s="42"/>
    </row>
    <row r="493" spans="1:11" hidden="1" x14ac:dyDescent="0.2">
      <c r="A493" s="194" t="s">
        <v>275</v>
      </c>
      <c r="B493" s="145" t="s">
        <v>252</v>
      </c>
      <c r="C493" s="159" t="s">
        <v>64</v>
      </c>
      <c r="D493" t="s">
        <v>275</v>
      </c>
      <c r="E493">
        <v>0.28305270899866802</v>
      </c>
      <c r="F493">
        <v>0.17297564245650399</v>
      </c>
      <c r="G493">
        <v>1.63637321982974</v>
      </c>
      <c r="H493">
        <v>-6.1767932158304201E-2</v>
      </c>
      <c r="I493">
        <v>0.62787335015563905</v>
      </c>
      <c r="J493">
        <v>0.10612568302005999</v>
      </c>
      <c r="K493" s="77"/>
    </row>
    <row r="494" spans="1:11" hidden="1" x14ac:dyDescent="0.2">
      <c r="A494" s="194" t="s">
        <v>275</v>
      </c>
      <c r="B494" s="145" t="s">
        <v>252</v>
      </c>
      <c r="C494" s="159" t="s">
        <v>65</v>
      </c>
      <c r="D494" t="s">
        <v>275</v>
      </c>
      <c r="E494">
        <v>3.6413033363693503E-2</v>
      </c>
      <c r="F494">
        <v>0.114411093848916</v>
      </c>
      <c r="G494">
        <v>0.318264882702532</v>
      </c>
      <c r="H494">
        <v>-0.196929930958091</v>
      </c>
      <c r="I494">
        <v>0.26975599768547798</v>
      </c>
      <c r="J494">
        <v>0.75241829589463505</v>
      </c>
      <c r="K494" s="77"/>
    </row>
    <row r="495" spans="1:11" hidden="1" x14ac:dyDescent="0.2">
      <c r="A495" s="72" t="s">
        <v>275</v>
      </c>
      <c r="B495" s="139" t="s">
        <v>253</v>
      </c>
      <c r="C495" s="42" t="s">
        <v>66</v>
      </c>
      <c r="D495" s="42" t="s">
        <v>275</v>
      </c>
      <c r="E495" s="42">
        <v>0.12641586051404599</v>
      </c>
      <c r="F495" s="42">
        <v>0.105805082218797</v>
      </c>
      <c r="G495" s="42">
        <v>1.1947995111674099</v>
      </c>
      <c r="H495" s="42">
        <v>-8.3376072554524602E-2</v>
      </c>
      <c r="I495" s="42">
        <v>0.33620779358261699</v>
      </c>
      <c r="J495" s="42">
        <v>0.23485721795765099</v>
      </c>
      <c r="K495" s="42"/>
    </row>
    <row r="496" spans="1:11" hidden="1" x14ac:dyDescent="0.2">
      <c r="A496" s="194" t="s">
        <v>275</v>
      </c>
      <c r="B496" s="146" t="s">
        <v>253</v>
      </c>
      <c r="C496" s="159" t="s">
        <v>64</v>
      </c>
      <c r="D496" t="s">
        <v>275</v>
      </c>
      <c r="E496">
        <v>0.18580414361329001</v>
      </c>
      <c r="F496">
        <v>0.147550100937899</v>
      </c>
      <c r="G496">
        <v>1.25926137923478</v>
      </c>
      <c r="H496">
        <v>-0.108331606863694</v>
      </c>
      <c r="I496">
        <v>0.47993989409027299</v>
      </c>
      <c r="J496">
        <v>0.21200311507819</v>
      </c>
      <c r="K496" s="77"/>
    </row>
    <row r="497" spans="1:11" hidden="1" x14ac:dyDescent="0.2">
      <c r="A497" s="194" t="s">
        <v>275</v>
      </c>
      <c r="B497" s="146" t="s">
        <v>253</v>
      </c>
      <c r="C497" s="159" t="s">
        <v>65</v>
      </c>
      <c r="D497" t="s">
        <v>275</v>
      </c>
      <c r="E497">
        <v>6.0000262706030198E-2</v>
      </c>
      <c r="F497">
        <v>0.14404656917837799</v>
      </c>
      <c r="G497">
        <v>0.41653378520754403</v>
      </c>
      <c r="H497">
        <v>-0.233784652040543</v>
      </c>
      <c r="I497">
        <v>0.35378517745260302</v>
      </c>
      <c r="J497">
        <v>0.67988950587198704</v>
      </c>
      <c r="K497" s="77"/>
    </row>
    <row r="498" spans="1:11" hidden="1" x14ac:dyDescent="0.2">
      <c r="A498" s="72" t="s">
        <v>275</v>
      </c>
      <c r="B498" s="140" t="s">
        <v>254</v>
      </c>
      <c r="C498" s="42" t="s">
        <v>66</v>
      </c>
      <c r="D498" s="42" t="s">
        <v>275</v>
      </c>
      <c r="E498" s="42">
        <v>3.09819650777589E-2</v>
      </c>
      <c r="F498" s="42">
        <v>9.7152460510069094E-2</v>
      </c>
      <c r="G498" s="42">
        <v>0.31890046752390699</v>
      </c>
      <c r="H498" s="42">
        <v>-0.161653417508376</v>
      </c>
      <c r="I498" s="42">
        <v>0.22361734766389399</v>
      </c>
      <c r="J498" s="42">
        <v>0.75043550823871596</v>
      </c>
      <c r="K498" s="42"/>
    </row>
    <row r="499" spans="1:11" hidden="1" x14ac:dyDescent="0.2">
      <c r="A499" s="194" t="s">
        <v>275</v>
      </c>
      <c r="B499" s="147" t="s">
        <v>254</v>
      </c>
      <c r="C499" s="159" t="s">
        <v>64</v>
      </c>
      <c r="D499" t="s">
        <v>275</v>
      </c>
      <c r="E499">
        <v>1.22724800508016E-2</v>
      </c>
      <c r="F499">
        <v>0.13466646681094599</v>
      </c>
      <c r="G499">
        <v>9.1132412852493003E-2</v>
      </c>
      <c r="H499">
        <v>-0.25618021518789902</v>
      </c>
      <c r="I499">
        <v>0.28072517528950203</v>
      </c>
      <c r="J499">
        <v>0.92764044598314699</v>
      </c>
      <c r="K499" s="77"/>
    </row>
    <row r="500" spans="1:11" hidden="1" x14ac:dyDescent="0.2">
      <c r="A500" s="194" t="s">
        <v>275</v>
      </c>
      <c r="B500" s="147" t="s">
        <v>254</v>
      </c>
      <c r="C500" s="159" t="s">
        <v>65</v>
      </c>
      <c r="D500" t="s">
        <v>275</v>
      </c>
      <c r="E500">
        <v>6.4335841684673503E-2</v>
      </c>
      <c r="F500">
        <v>0.13655207326009</v>
      </c>
      <c r="G500">
        <v>0.47114511078959098</v>
      </c>
      <c r="H500">
        <v>-0.21416394786258799</v>
      </c>
      <c r="I500">
        <v>0.342835631231935</v>
      </c>
      <c r="J500">
        <v>0.64083593292845398</v>
      </c>
      <c r="K500" s="77"/>
    </row>
    <row r="501" spans="1:11" hidden="1" x14ac:dyDescent="0.2">
      <c r="A501" s="72" t="s">
        <v>275</v>
      </c>
      <c r="B501" s="141" t="s">
        <v>255</v>
      </c>
      <c r="C501" s="42" t="s">
        <v>66</v>
      </c>
      <c r="D501" s="42" t="s">
        <v>275</v>
      </c>
      <c r="E501" s="42">
        <v>-1.9587616941643699E-3</v>
      </c>
      <c r="F501" s="42">
        <v>9.5362835420473996E-2</v>
      </c>
      <c r="G501" s="42">
        <v>-2.0540094949230401E-2</v>
      </c>
      <c r="H501" s="42">
        <v>-0.19104564831828399</v>
      </c>
      <c r="I501" s="42">
        <v>0.18712812492995501</v>
      </c>
      <c r="J501" s="42">
        <v>0.98365150940697399</v>
      </c>
      <c r="K501" s="42"/>
    </row>
    <row r="502" spans="1:11" hidden="1" x14ac:dyDescent="0.2">
      <c r="A502" s="194" t="s">
        <v>275</v>
      </c>
      <c r="B502" s="148" t="s">
        <v>255</v>
      </c>
      <c r="C502" s="159" t="s">
        <v>64</v>
      </c>
      <c r="D502" t="s">
        <v>275</v>
      </c>
      <c r="E502">
        <v>3.6504350905736997E-2</v>
      </c>
      <c r="F502">
        <v>8.9531954028235897E-2</v>
      </c>
      <c r="G502">
        <v>0.40772427343900602</v>
      </c>
      <c r="H502">
        <v>-0.14197433750159699</v>
      </c>
      <c r="I502">
        <v>0.214983039313071</v>
      </c>
      <c r="J502">
        <v>0.68468595140435295</v>
      </c>
      <c r="K502" s="77"/>
    </row>
    <row r="503" spans="1:11" hidden="1" x14ac:dyDescent="0.2">
      <c r="A503" s="194" t="s">
        <v>275</v>
      </c>
      <c r="B503" s="148" t="s">
        <v>255</v>
      </c>
      <c r="C503" s="159" t="s">
        <v>65</v>
      </c>
      <c r="D503" t="s">
        <v>275</v>
      </c>
      <c r="E503">
        <v>-2.6239342782660301E-3</v>
      </c>
      <c r="F503">
        <v>0.21841296389640799</v>
      </c>
      <c r="G503">
        <v>-1.20136379794312E-2</v>
      </c>
      <c r="H503">
        <v>-0.44808011101228301</v>
      </c>
      <c r="I503">
        <v>0.44283224245575098</v>
      </c>
      <c r="J503">
        <v>0.99049171807304004</v>
      </c>
      <c r="K503" s="77"/>
    </row>
    <row r="504" spans="1:11" hidden="1" x14ac:dyDescent="0.2">
      <c r="A504" s="72" t="s">
        <v>275</v>
      </c>
      <c r="B504" s="129" t="s">
        <v>26</v>
      </c>
      <c r="C504" s="42" t="s">
        <v>66</v>
      </c>
      <c r="D504" s="42" t="s">
        <v>275</v>
      </c>
      <c r="E504" s="42">
        <v>0.14047952075376399</v>
      </c>
      <c r="F504" s="42">
        <v>0.108151171425166</v>
      </c>
      <c r="G504" s="42">
        <v>1.29891816151956</v>
      </c>
      <c r="H504" s="42">
        <v>-7.3964273826882795E-2</v>
      </c>
      <c r="I504" s="42">
        <v>0.35492331533441002</v>
      </c>
      <c r="J504" s="42">
        <v>0.196817210936825</v>
      </c>
      <c r="K504" s="42"/>
    </row>
    <row r="505" spans="1:11" hidden="1" x14ac:dyDescent="0.2">
      <c r="A505" s="194" t="s">
        <v>275</v>
      </c>
      <c r="B505" s="150" t="s">
        <v>26</v>
      </c>
      <c r="C505" s="161" t="s">
        <v>64</v>
      </c>
      <c r="D505" s="20" t="s">
        <v>275</v>
      </c>
      <c r="E505" s="20">
        <v>0.28072544665037702</v>
      </c>
      <c r="F505" s="20">
        <v>0.154851936438477</v>
      </c>
      <c r="G505" s="20">
        <v>1.8128636496703401</v>
      </c>
      <c r="H505" s="20">
        <v>-2.7966246866766901E-2</v>
      </c>
      <c r="I505" s="20">
        <v>0.58941714016752</v>
      </c>
      <c r="J505" s="20">
        <v>7.4021193479911401E-2</v>
      </c>
      <c r="K505" s="20" t="s">
        <v>200</v>
      </c>
    </row>
    <row r="506" spans="1:11" hidden="1" x14ac:dyDescent="0.2">
      <c r="A506" s="194" t="s">
        <v>275</v>
      </c>
      <c r="B506" s="150" t="s">
        <v>26</v>
      </c>
      <c r="C506" s="159" t="s">
        <v>65</v>
      </c>
      <c r="D506" t="s">
        <v>275</v>
      </c>
      <c r="E506">
        <v>-6.3521821456658203E-2</v>
      </c>
      <c r="F506">
        <v>0.12598516906938301</v>
      </c>
      <c r="G506">
        <v>-0.50420078748852704</v>
      </c>
      <c r="H506">
        <v>-0.32047026782019</v>
      </c>
      <c r="I506">
        <v>0.19342662490687401</v>
      </c>
      <c r="J506">
        <v>0.61768524744522102</v>
      </c>
      <c r="K506" s="77"/>
    </row>
    <row r="507" spans="1:11" hidden="1" x14ac:dyDescent="0.2">
      <c r="A507" s="72" t="s">
        <v>275</v>
      </c>
      <c r="B507" s="128" t="s">
        <v>17</v>
      </c>
      <c r="C507" s="42" t="s">
        <v>66</v>
      </c>
      <c r="D507" s="42" t="s">
        <v>275</v>
      </c>
      <c r="E507" s="42">
        <v>0.14014459707356799</v>
      </c>
      <c r="F507" s="42">
        <v>0.105493172437939</v>
      </c>
      <c r="G507" s="42">
        <v>1.32847078000251</v>
      </c>
      <c r="H507" s="42">
        <v>-6.9028876517471693E-2</v>
      </c>
      <c r="I507" s="42">
        <v>0.34931807066460802</v>
      </c>
      <c r="J507" s="42">
        <v>0.186902755872106</v>
      </c>
      <c r="K507" s="42"/>
    </row>
    <row r="508" spans="1:11" hidden="1" x14ac:dyDescent="0.2">
      <c r="A508" s="194" t="s">
        <v>275</v>
      </c>
      <c r="B508" s="151" t="s">
        <v>17</v>
      </c>
      <c r="C508" s="160" t="s">
        <v>64</v>
      </c>
      <c r="D508" s="11" t="s">
        <v>275</v>
      </c>
      <c r="E508" s="11">
        <v>0.32936778724029397</v>
      </c>
      <c r="F508" s="11">
        <v>0.15460870515206199</v>
      </c>
      <c r="G508" s="11">
        <v>2.13033145136525</v>
      </c>
      <c r="H508" s="11">
        <v>2.1160966430890299E-2</v>
      </c>
      <c r="I508" s="11">
        <v>0.63757460804969701</v>
      </c>
      <c r="J508" s="11">
        <v>3.6561496700627701E-2</v>
      </c>
      <c r="K508" s="11" t="s">
        <v>61</v>
      </c>
    </row>
    <row r="509" spans="1:11" hidden="1" x14ac:dyDescent="0.2">
      <c r="A509" s="194" t="s">
        <v>275</v>
      </c>
      <c r="B509" s="151" t="s">
        <v>17</v>
      </c>
      <c r="C509" s="159" t="s">
        <v>65</v>
      </c>
      <c r="D509" t="s">
        <v>275</v>
      </c>
      <c r="E509">
        <v>-0.12464382561871799</v>
      </c>
      <c r="F509">
        <v>9.7907326037001197E-2</v>
      </c>
      <c r="G509">
        <v>-1.27307966281924</v>
      </c>
      <c r="H509">
        <v>-0.32432713357190002</v>
      </c>
      <c r="I509">
        <v>7.5039482334462698E-2</v>
      </c>
      <c r="J509">
        <v>0.212454387269046</v>
      </c>
      <c r="K509" s="77"/>
    </row>
    <row r="510" spans="1:11" hidden="1" x14ac:dyDescent="0.2">
      <c r="A510" s="72" t="s">
        <v>275</v>
      </c>
      <c r="B510" s="124" t="s">
        <v>21</v>
      </c>
      <c r="C510" s="42" t="s">
        <v>66</v>
      </c>
      <c r="D510" s="42" t="s">
        <v>275</v>
      </c>
      <c r="E510" s="42">
        <v>0.112233708300326</v>
      </c>
      <c r="F510" s="42">
        <v>0.104149553836187</v>
      </c>
      <c r="G510" s="42">
        <v>1.07762063461985</v>
      </c>
      <c r="H510" s="42">
        <v>-9.4275617805004597E-2</v>
      </c>
      <c r="I510" s="42">
        <v>0.31874303440565599</v>
      </c>
      <c r="J510" s="42">
        <v>0.28367263112302699</v>
      </c>
      <c r="K510" s="42"/>
    </row>
    <row r="511" spans="1:11" hidden="1" x14ac:dyDescent="0.2">
      <c r="A511" s="194" t="s">
        <v>275</v>
      </c>
      <c r="B511" s="152" t="s">
        <v>21</v>
      </c>
      <c r="C511" s="160" t="s">
        <v>64</v>
      </c>
      <c r="D511" s="11" t="s">
        <v>275</v>
      </c>
      <c r="E511" s="11">
        <v>0.31478219396696999</v>
      </c>
      <c r="F511" s="11">
        <v>0.140957923063493</v>
      </c>
      <c r="G511" s="11">
        <v>2.23316424593727</v>
      </c>
      <c r="H511" s="11">
        <v>3.3787709907569199E-2</v>
      </c>
      <c r="I511" s="11">
        <v>0.59577667802637002</v>
      </c>
      <c r="J511" s="11">
        <v>2.8646830961776299E-2</v>
      </c>
      <c r="K511" s="11" t="s">
        <v>61</v>
      </c>
    </row>
    <row r="512" spans="1:11" hidden="1" x14ac:dyDescent="0.2">
      <c r="A512" s="194" t="s">
        <v>275</v>
      </c>
      <c r="B512" s="152" t="s">
        <v>21</v>
      </c>
      <c r="C512" s="159" t="s">
        <v>65</v>
      </c>
      <c r="D512" t="s">
        <v>275</v>
      </c>
      <c r="E512">
        <v>-0.15119139022424599</v>
      </c>
      <c r="F512">
        <v>0.141406365796788</v>
      </c>
      <c r="G512">
        <v>-1.0691979061361301</v>
      </c>
      <c r="H512">
        <v>-0.43959157467284499</v>
      </c>
      <c r="I512">
        <v>0.137208794224353</v>
      </c>
      <c r="J512">
        <v>0.29323559963754198</v>
      </c>
      <c r="K512" s="77"/>
    </row>
    <row r="513" spans="1:11" hidden="1" x14ac:dyDescent="0.2">
      <c r="A513" s="72" t="s">
        <v>275</v>
      </c>
      <c r="B513" s="142" t="s">
        <v>29</v>
      </c>
      <c r="C513" s="42" t="s">
        <v>66</v>
      </c>
      <c r="D513" s="42" t="s">
        <v>275</v>
      </c>
      <c r="E513" s="42">
        <v>9.1462820222256894E-2</v>
      </c>
      <c r="F513" s="42">
        <v>0.100602064351604</v>
      </c>
      <c r="G513" s="42">
        <v>0.90915450703470801</v>
      </c>
      <c r="H513" s="42">
        <v>-0.108012489549417</v>
      </c>
      <c r="I513" s="42">
        <v>0.29093812999392998</v>
      </c>
      <c r="J513" s="42">
        <v>0.36535071193823299</v>
      </c>
      <c r="K513" s="42"/>
    </row>
    <row r="514" spans="1:11" hidden="1" x14ac:dyDescent="0.2">
      <c r="A514" s="194" t="s">
        <v>275</v>
      </c>
      <c r="B514" s="154" t="s">
        <v>29</v>
      </c>
      <c r="C514" s="159" t="s">
        <v>64</v>
      </c>
      <c r="D514" t="s">
        <v>275</v>
      </c>
      <c r="E514">
        <v>1.35370024152985E-2</v>
      </c>
      <c r="F514">
        <v>0.15060287433979899</v>
      </c>
      <c r="G514">
        <v>8.9885418685672194E-2</v>
      </c>
      <c r="H514">
        <v>-0.28668434061564702</v>
      </c>
      <c r="I514">
        <v>0.31375834544624398</v>
      </c>
      <c r="J514">
        <v>0.92862784591408598</v>
      </c>
      <c r="K514" s="77"/>
    </row>
    <row r="515" spans="1:11" hidden="1" x14ac:dyDescent="0.2">
      <c r="A515" s="194" t="s">
        <v>275</v>
      </c>
      <c r="B515" s="154" t="s">
        <v>29</v>
      </c>
      <c r="C515" s="161" t="s">
        <v>65</v>
      </c>
      <c r="D515" s="20" t="s">
        <v>275</v>
      </c>
      <c r="E515" s="20">
        <v>0.15563090521608</v>
      </c>
      <c r="F515" s="20">
        <v>8.4255342829939905E-2</v>
      </c>
      <c r="G515" s="20">
        <v>1.84713396194001</v>
      </c>
      <c r="H515" s="20">
        <v>-1.6208999416321101E-2</v>
      </c>
      <c r="I515" s="20">
        <v>0.32747080984848198</v>
      </c>
      <c r="J515" s="20">
        <v>7.42920124129514E-2</v>
      </c>
      <c r="K515" s="20" t="s">
        <v>200</v>
      </c>
    </row>
    <row r="516" spans="1:11" hidden="1" x14ac:dyDescent="0.2">
      <c r="A516" s="72" t="s">
        <v>275</v>
      </c>
      <c r="B516" s="118" t="s">
        <v>18</v>
      </c>
      <c r="C516" s="42" t="s">
        <v>66</v>
      </c>
      <c r="D516" s="42" t="s">
        <v>275</v>
      </c>
      <c r="E516" s="42">
        <v>0.12215557152809201</v>
      </c>
      <c r="F516" s="42">
        <v>9.1981848776815506E-2</v>
      </c>
      <c r="G516" s="42">
        <v>1.3280399682386299</v>
      </c>
      <c r="H516" s="42">
        <v>-6.0227443138483702E-2</v>
      </c>
      <c r="I516" s="42">
        <v>0.304538586194668</v>
      </c>
      <c r="J516" s="42">
        <v>0.187044548467063</v>
      </c>
      <c r="K516" s="42"/>
    </row>
    <row r="517" spans="1:11" hidden="1" x14ac:dyDescent="0.2">
      <c r="A517" s="194" t="s">
        <v>275</v>
      </c>
      <c r="B517" s="155" t="s">
        <v>18</v>
      </c>
      <c r="C517" s="159" t="s">
        <v>64</v>
      </c>
      <c r="D517" t="s">
        <v>275</v>
      </c>
      <c r="E517">
        <v>8.3345466095422094E-2</v>
      </c>
      <c r="F517">
        <v>0.13260287209477101</v>
      </c>
      <c r="G517">
        <v>0.62853439581501003</v>
      </c>
      <c r="H517">
        <v>-0.18099352826022899</v>
      </c>
      <c r="I517">
        <v>0.34768446045107299</v>
      </c>
      <c r="J517">
        <v>0.53164282023015297</v>
      </c>
      <c r="K517" s="77"/>
    </row>
    <row r="518" spans="1:11" hidden="1" x14ac:dyDescent="0.2">
      <c r="A518" s="194" t="s">
        <v>275</v>
      </c>
      <c r="B518" s="155" t="s">
        <v>18</v>
      </c>
      <c r="C518" s="159" t="s">
        <v>65</v>
      </c>
      <c r="D518" t="s">
        <v>275</v>
      </c>
      <c r="E518">
        <v>0.12693107567776399</v>
      </c>
      <c r="F518">
        <v>0.101933556408506</v>
      </c>
      <c r="G518">
        <v>1.2452334653083099</v>
      </c>
      <c r="H518">
        <v>-8.0963783256390198E-2</v>
      </c>
      <c r="I518">
        <v>0.33482593461191801</v>
      </c>
      <c r="J518">
        <v>0.222376755893333</v>
      </c>
      <c r="K518" s="77"/>
    </row>
    <row r="519" spans="1:11" hidden="1" x14ac:dyDescent="0.2">
      <c r="A519" s="72" t="s">
        <v>275</v>
      </c>
      <c r="B519" s="120" t="s">
        <v>14</v>
      </c>
      <c r="C519" s="42" t="s">
        <v>66</v>
      </c>
      <c r="D519" s="42" t="s">
        <v>275</v>
      </c>
      <c r="E519" s="42">
        <v>8.7658812883439297E-2</v>
      </c>
      <c r="F519" s="42">
        <v>9.1768590240566605E-2</v>
      </c>
      <c r="G519" s="42">
        <v>0.955215860390208</v>
      </c>
      <c r="H519" s="42">
        <v>-9.4301349500195406E-2</v>
      </c>
      <c r="I519" s="42">
        <v>0.26961897526707401</v>
      </c>
      <c r="J519" s="42">
        <v>0.34166257332238098</v>
      </c>
      <c r="K519" s="42"/>
    </row>
    <row r="520" spans="1:11" hidden="1" x14ac:dyDescent="0.2">
      <c r="A520" s="194" t="s">
        <v>275</v>
      </c>
      <c r="B520" s="121" t="s">
        <v>14</v>
      </c>
      <c r="C520" s="159" t="s">
        <v>64</v>
      </c>
      <c r="D520" t="s">
        <v>275</v>
      </c>
      <c r="E520">
        <v>1.9112818467645301E-2</v>
      </c>
      <c r="F520">
        <v>0.13026185096434101</v>
      </c>
      <c r="G520">
        <v>0.14672613912785101</v>
      </c>
      <c r="H520">
        <v>-0.240559435555707</v>
      </c>
      <c r="I520">
        <v>0.27878507249099799</v>
      </c>
      <c r="J520">
        <v>0.88375825002806097</v>
      </c>
      <c r="K520" s="77"/>
    </row>
    <row r="521" spans="1:11" hidden="1" x14ac:dyDescent="0.2">
      <c r="A521" s="194" t="s">
        <v>275</v>
      </c>
      <c r="B521" s="121" t="s">
        <v>14</v>
      </c>
      <c r="C521" s="159" t="s">
        <v>65</v>
      </c>
      <c r="D521" t="s">
        <v>275</v>
      </c>
      <c r="E521">
        <v>0.13070168583040201</v>
      </c>
      <c r="F521">
        <v>0.10750652098774</v>
      </c>
      <c r="G521">
        <v>1.2157558874526999</v>
      </c>
      <c r="H521">
        <v>-8.8559309299392E-2</v>
      </c>
      <c r="I521">
        <v>0.349962680960196</v>
      </c>
      <c r="J521">
        <v>0.233255399699592</v>
      </c>
      <c r="K521" s="77"/>
    </row>
    <row r="522" spans="1:11" hidden="1" x14ac:dyDescent="0.2">
      <c r="A522" t="s">
        <v>228</v>
      </c>
      <c r="B522" t="s">
        <v>252</v>
      </c>
      <c r="C522">
        <v>0</v>
      </c>
      <c r="D522" t="s">
        <v>230</v>
      </c>
      <c r="E522">
        <v>-0.35600808191022998</v>
      </c>
      <c r="F522">
        <v>0.36770148279473602</v>
      </c>
      <c r="G522">
        <v>-0.968198657248729</v>
      </c>
      <c r="H522">
        <v>-1.08900759126908</v>
      </c>
      <c r="I522">
        <v>0.37699142744862402</v>
      </c>
      <c r="J522">
        <v>0.33618629616955797</v>
      </c>
    </row>
    <row r="523" spans="1:11" hidden="1" x14ac:dyDescent="0.2">
      <c r="A523" t="s">
        <v>228</v>
      </c>
      <c r="B523" t="s">
        <v>252</v>
      </c>
      <c r="C523">
        <v>1</v>
      </c>
      <c r="D523" t="s">
        <v>230</v>
      </c>
      <c r="E523">
        <v>-6.5990458481202996E-2</v>
      </c>
      <c r="F523">
        <v>0.280103656999724</v>
      </c>
      <c r="G523">
        <v>-0.23559299149481699</v>
      </c>
      <c r="H523">
        <v>-0.63726563331694697</v>
      </c>
      <c r="I523">
        <v>0.50528471635454097</v>
      </c>
      <c r="J523">
        <v>0.81529801701805504</v>
      </c>
    </row>
    <row r="524" spans="1:11" hidden="1" x14ac:dyDescent="0.2">
      <c r="A524" t="s">
        <v>228</v>
      </c>
      <c r="B524" t="s">
        <v>253</v>
      </c>
      <c r="C524">
        <v>0</v>
      </c>
      <c r="D524" t="s">
        <v>230</v>
      </c>
      <c r="E524">
        <v>-8.4718457769820996E-2</v>
      </c>
      <c r="F524">
        <v>0.31321289405606301</v>
      </c>
      <c r="G524">
        <v>-0.27048202477467898</v>
      </c>
      <c r="H524">
        <v>-0.709096950679308</v>
      </c>
      <c r="I524">
        <v>0.53966003513966598</v>
      </c>
      <c r="J524">
        <v>0.78756328939063402</v>
      </c>
    </row>
    <row r="525" spans="1:11" hidden="1" x14ac:dyDescent="0.2">
      <c r="A525" t="s">
        <v>228</v>
      </c>
      <c r="B525" t="s">
        <v>253</v>
      </c>
      <c r="C525">
        <v>1</v>
      </c>
      <c r="D525" t="s">
        <v>230</v>
      </c>
      <c r="E525">
        <v>-0.30367754645112799</v>
      </c>
      <c r="F525">
        <v>0.34914847396526</v>
      </c>
      <c r="G525">
        <v>-0.86976621436226897</v>
      </c>
      <c r="H525">
        <v>-1.0157705538920601</v>
      </c>
      <c r="I525">
        <v>0.40841546098980702</v>
      </c>
      <c r="J525">
        <v>0.39111318978016801</v>
      </c>
    </row>
    <row r="526" spans="1:11" hidden="1" x14ac:dyDescent="0.2">
      <c r="A526" t="s">
        <v>228</v>
      </c>
      <c r="B526" t="s">
        <v>254</v>
      </c>
      <c r="C526">
        <v>0</v>
      </c>
      <c r="D526" t="s">
        <v>230</v>
      </c>
      <c r="E526">
        <v>0.16988469919607899</v>
      </c>
      <c r="F526">
        <v>0.282217848885355</v>
      </c>
      <c r="G526">
        <v>0.60196298663268</v>
      </c>
      <c r="H526">
        <v>-0.39270630041856203</v>
      </c>
      <c r="I526">
        <v>0.73247569881071894</v>
      </c>
      <c r="J526">
        <v>0.54908973457188504</v>
      </c>
    </row>
    <row r="527" spans="1:11" hidden="1" x14ac:dyDescent="0.2">
      <c r="A527" t="s">
        <v>228</v>
      </c>
      <c r="B527" t="s">
        <v>254</v>
      </c>
      <c r="C527">
        <v>1</v>
      </c>
      <c r="D527" t="s">
        <v>230</v>
      </c>
      <c r="E527">
        <v>-0.14186035946616499</v>
      </c>
      <c r="F527">
        <v>0.33428782465142898</v>
      </c>
      <c r="G527">
        <v>-0.424365917646229</v>
      </c>
      <c r="H527">
        <v>-0.82364487280936005</v>
      </c>
      <c r="I527">
        <v>0.53992415387702897</v>
      </c>
      <c r="J527">
        <v>0.67422965755720898</v>
      </c>
    </row>
    <row r="528" spans="1:11" hidden="1" x14ac:dyDescent="0.2">
      <c r="A528" t="s">
        <v>228</v>
      </c>
      <c r="B528" t="s">
        <v>255</v>
      </c>
      <c r="C528">
        <v>0</v>
      </c>
      <c r="D528" t="s">
        <v>230</v>
      </c>
      <c r="E528">
        <v>-1.5349760468883499E-3</v>
      </c>
      <c r="F528">
        <v>0.18830798112188599</v>
      </c>
      <c r="G528">
        <v>-8.1514125834890004E-3</v>
      </c>
      <c r="H528">
        <v>-0.37692007572502001</v>
      </c>
      <c r="I528">
        <v>0.37385012363124398</v>
      </c>
      <c r="J528">
        <v>0.99351872957692899</v>
      </c>
    </row>
    <row r="529" spans="1:10" hidden="1" x14ac:dyDescent="0.2">
      <c r="A529" t="s">
        <v>228</v>
      </c>
      <c r="B529" t="s">
        <v>255</v>
      </c>
      <c r="C529">
        <v>1</v>
      </c>
      <c r="D529" t="s">
        <v>230</v>
      </c>
      <c r="E529">
        <v>2.4563988654135199E-2</v>
      </c>
      <c r="F529">
        <v>0.53431249762892497</v>
      </c>
      <c r="G529">
        <v>4.5973075238069101E-2</v>
      </c>
      <c r="H529">
        <v>-1.06517353483771</v>
      </c>
      <c r="I529">
        <v>1.1143015121459801</v>
      </c>
      <c r="J529">
        <v>0.96362659500214698</v>
      </c>
    </row>
    <row r="530" spans="1:10" hidden="1" x14ac:dyDescent="0.2">
      <c r="A530" t="s">
        <v>228</v>
      </c>
      <c r="B530" t="s">
        <v>26</v>
      </c>
      <c r="C530">
        <v>0</v>
      </c>
      <c r="D530" t="s">
        <v>230</v>
      </c>
      <c r="E530">
        <v>-0.365830441056266</v>
      </c>
      <c r="F530">
        <v>0.32985309831103699</v>
      </c>
      <c r="G530">
        <v>-1.10907080433516</v>
      </c>
      <c r="H530">
        <v>-1.0233805748898499</v>
      </c>
      <c r="I530">
        <v>0.29171969277732201</v>
      </c>
      <c r="J530">
        <v>0.27109042458252702</v>
      </c>
    </row>
    <row r="531" spans="1:10" hidden="1" x14ac:dyDescent="0.2">
      <c r="A531" t="s">
        <v>228</v>
      </c>
      <c r="B531" t="s">
        <v>26</v>
      </c>
      <c r="C531">
        <v>1</v>
      </c>
      <c r="D531" t="s">
        <v>230</v>
      </c>
      <c r="E531">
        <v>0.19686094200000001</v>
      </c>
      <c r="F531">
        <v>0.30744718974109703</v>
      </c>
      <c r="G531">
        <v>0.64030815232293303</v>
      </c>
      <c r="H531">
        <v>-0.43018173553375499</v>
      </c>
      <c r="I531">
        <v>0.82390361953375502</v>
      </c>
      <c r="J531">
        <v>0.526677155864959</v>
      </c>
    </row>
    <row r="532" spans="1:10" hidden="1" x14ac:dyDescent="0.2">
      <c r="A532" t="s">
        <v>228</v>
      </c>
      <c r="B532" t="s">
        <v>17</v>
      </c>
      <c r="C532">
        <v>0</v>
      </c>
      <c r="D532" t="s">
        <v>230</v>
      </c>
      <c r="E532">
        <v>-0.38649468720119401</v>
      </c>
      <c r="F532">
        <v>0.33177409455370099</v>
      </c>
      <c r="G532">
        <v>-1.1649332890836499</v>
      </c>
      <c r="H532">
        <v>-1.0478742570562301</v>
      </c>
      <c r="I532">
        <v>0.27488488265383998</v>
      </c>
      <c r="J532">
        <v>0.24789114889032099</v>
      </c>
    </row>
    <row r="533" spans="1:10" hidden="1" x14ac:dyDescent="0.2">
      <c r="A533" t="s">
        <v>228</v>
      </c>
      <c r="B533" t="s">
        <v>17</v>
      </c>
      <c r="C533">
        <v>1</v>
      </c>
      <c r="D533" t="s">
        <v>230</v>
      </c>
      <c r="E533">
        <v>2.27515297406015E-2</v>
      </c>
      <c r="F533">
        <v>0.24566983669203199</v>
      </c>
      <c r="G533">
        <v>9.2610187912985198E-2</v>
      </c>
      <c r="H533">
        <v>-0.478295405566808</v>
      </c>
      <c r="I533">
        <v>0.52379846504801097</v>
      </c>
      <c r="J533">
        <v>0.92680917108102401</v>
      </c>
    </row>
    <row r="534" spans="1:10" hidden="1" x14ac:dyDescent="0.2">
      <c r="A534" t="s">
        <v>228</v>
      </c>
      <c r="B534" t="s">
        <v>21</v>
      </c>
      <c r="C534">
        <v>0</v>
      </c>
      <c r="D534" t="s">
        <v>230</v>
      </c>
      <c r="E534">
        <v>-0.31631107606734898</v>
      </c>
      <c r="F534">
        <v>0.30393439198984201</v>
      </c>
      <c r="G534">
        <v>-1.04072156492879</v>
      </c>
      <c r="H534">
        <v>-0.92219321315462599</v>
      </c>
      <c r="I534">
        <v>0.28957106101992902</v>
      </c>
      <c r="J534">
        <v>0.30148694701474998</v>
      </c>
    </row>
    <row r="535" spans="1:10" hidden="1" x14ac:dyDescent="0.2">
      <c r="A535" t="s">
        <v>228</v>
      </c>
      <c r="B535" t="s">
        <v>21</v>
      </c>
      <c r="C535">
        <v>1</v>
      </c>
      <c r="D535" t="s">
        <v>230</v>
      </c>
      <c r="E535">
        <v>4.06180213421053E-2</v>
      </c>
      <c r="F535">
        <v>0.35218440619549701</v>
      </c>
      <c r="G535">
        <v>0.115331685979186</v>
      </c>
      <c r="H535">
        <v>-0.67766681070474499</v>
      </c>
      <c r="I535">
        <v>0.75890285338895602</v>
      </c>
      <c r="J535">
        <v>0.908926059821627</v>
      </c>
    </row>
    <row r="536" spans="1:10" hidden="1" x14ac:dyDescent="0.2">
      <c r="A536" t="s">
        <v>228</v>
      </c>
      <c r="B536" t="s">
        <v>29</v>
      </c>
      <c r="C536">
        <v>0</v>
      </c>
      <c r="D536" t="s">
        <v>230</v>
      </c>
      <c r="E536">
        <v>0.26451949883376003</v>
      </c>
      <c r="F536">
        <v>0.31486873927376002</v>
      </c>
      <c r="G536">
        <v>0.840094508727255</v>
      </c>
      <c r="H536">
        <v>-0.36315986118923699</v>
      </c>
      <c r="I536">
        <v>0.89219885885675598</v>
      </c>
      <c r="J536">
        <v>0.40363646572972001</v>
      </c>
    </row>
    <row r="537" spans="1:10" hidden="1" x14ac:dyDescent="0.2">
      <c r="A537" t="s">
        <v>228</v>
      </c>
      <c r="B537" t="s">
        <v>29</v>
      </c>
      <c r="C537">
        <v>1</v>
      </c>
      <c r="D537" t="s">
        <v>230</v>
      </c>
      <c r="E537">
        <v>-0.35164373650751901</v>
      </c>
      <c r="F537">
        <v>0.20778448188647899</v>
      </c>
      <c r="G537">
        <v>-1.6923484050153299</v>
      </c>
      <c r="H537">
        <v>-0.77542298126750298</v>
      </c>
      <c r="I537">
        <v>7.2135508252465202E-2</v>
      </c>
      <c r="J537">
        <v>0.100608715538489</v>
      </c>
    </row>
    <row r="538" spans="1:10" hidden="1" x14ac:dyDescent="0.2">
      <c r="A538" t="s">
        <v>228</v>
      </c>
      <c r="B538" t="s">
        <v>18</v>
      </c>
      <c r="C538">
        <v>0</v>
      </c>
      <c r="D538" t="s">
        <v>230</v>
      </c>
      <c r="E538">
        <v>7.0971289660699002E-2</v>
      </c>
      <c r="F538">
        <v>0.27921351933845701</v>
      </c>
      <c r="G538">
        <v>0.25418285557537401</v>
      </c>
      <c r="H538">
        <v>-0.485630688459955</v>
      </c>
      <c r="I538">
        <v>0.62757326778135303</v>
      </c>
      <c r="J538">
        <v>0.80007881430956895</v>
      </c>
    </row>
    <row r="539" spans="1:10" hidden="1" x14ac:dyDescent="0.2">
      <c r="A539" t="s">
        <v>228</v>
      </c>
      <c r="B539" t="s">
        <v>18</v>
      </c>
      <c r="C539">
        <v>1</v>
      </c>
      <c r="D539" t="s">
        <v>230</v>
      </c>
      <c r="E539">
        <v>-0.30142638590225601</v>
      </c>
      <c r="F539">
        <v>0.249732040955672</v>
      </c>
      <c r="G539">
        <v>-1.20699924907016</v>
      </c>
      <c r="H539">
        <v>-0.81075824142736697</v>
      </c>
      <c r="I539">
        <v>0.207905469622856</v>
      </c>
      <c r="J539">
        <v>0.236562106867551</v>
      </c>
    </row>
    <row r="540" spans="1:10" hidden="1" x14ac:dyDescent="0.2">
      <c r="A540" t="s">
        <v>228</v>
      </c>
      <c r="B540" t="s">
        <v>14</v>
      </c>
      <c r="C540">
        <v>0</v>
      </c>
      <c r="D540" t="s">
        <v>230</v>
      </c>
      <c r="E540">
        <v>0.15992791260102299</v>
      </c>
      <c r="F540">
        <v>0.27304866354982599</v>
      </c>
      <c r="G540">
        <v>0.58571212369929604</v>
      </c>
      <c r="H540">
        <v>-0.38438465011127099</v>
      </c>
      <c r="I540">
        <v>0.70424047531331702</v>
      </c>
      <c r="J540">
        <v>0.55990048924078595</v>
      </c>
    </row>
    <row r="541" spans="1:10" hidden="1" x14ac:dyDescent="0.2">
      <c r="A541" t="s">
        <v>228</v>
      </c>
      <c r="B541" t="s">
        <v>14</v>
      </c>
      <c r="C541">
        <v>1</v>
      </c>
      <c r="D541" t="s">
        <v>230</v>
      </c>
      <c r="E541">
        <v>-0.23553839544736799</v>
      </c>
      <c r="F541">
        <v>0.26585818841262499</v>
      </c>
      <c r="G541">
        <v>-0.88595501554310296</v>
      </c>
      <c r="H541">
        <v>-0.777759745549507</v>
      </c>
      <c r="I541">
        <v>0.30668295465477002</v>
      </c>
      <c r="J541">
        <v>0.38246303272801402</v>
      </c>
    </row>
    <row r="542" spans="1:10" hidden="1" x14ac:dyDescent="0.2">
      <c r="A542" t="s">
        <v>208</v>
      </c>
      <c r="B542" t="s">
        <v>252</v>
      </c>
      <c r="C542">
        <v>0</v>
      </c>
      <c r="D542" t="s">
        <v>218</v>
      </c>
      <c r="E542">
        <v>0.21012241318181801</v>
      </c>
      <c r="F542">
        <v>0.47875007127375802</v>
      </c>
      <c r="G542">
        <v>0.43889792563950503</v>
      </c>
      <c r="H542">
        <v>-0.74520847996478901</v>
      </c>
      <c r="I542">
        <v>1.16545330632842</v>
      </c>
      <c r="J542">
        <v>0.662126927306529</v>
      </c>
    </row>
    <row r="543" spans="1:10" hidden="1" x14ac:dyDescent="0.2">
      <c r="A543" t="s">
        <v>208</v>
      </c>
      <c r="B543" t="s">
        <v>252</v>
      </c>
      <c r="C543">
        <v>0</v>
      </c>
      <c r="D543" t="s">
        <v>220</v>
      </c>
      <c r="E543">
        <v>1.09151070151515</v>
      </c>
      <c r="F543">
        <v>0.54980033790618499</v>
      </c>
      <c r="G543">
        <v>1.9852856141776301</v>
      </c>
      <c r="H543">
        <v>-5.5987912662716103E-3</v>
      </c>
      <c r="I543">
        <v>2.1886201942965702</v>
      </c>
      <c r="J543">
        <v>5.1147670228439503E-2</v>
      </c>
    </row>
    <row r="544" spans="1:10" hidden="1" x14ac:dyDescent="0.2">
      <c r="A544" t="s">
        <v>208</v>
      </c>
      <c r="B544" t="s">
        <v>252</v>
      </c>
      <c r="C544">
        <v>0</v>
      </c>
      <c r="D544" t="s">
        <v>221</v>
      </c>
      <c r="E544">
        <v>-0.15650882606818201</v>
      </c>
      <c r="F544">
        <v>0.57616722075167903</v>
      </c>
      <c r="G544">
        <v>-0.271637851705617</v>
      </c>
      <c r="H544">
        <v>-1.30623261438644</v>
      </c>
      <c r="I544">
        <v>0.993214962250074</v>
      </c>
      <c r="J544">
        <v>0.78672348901222999</v>
      </c>
    </row>
    <row r="545" spans="1:10" hidden="1" x14ac:dyDescent="0.2">
      <c r="A545" t="s">
        <v>208</v>
      </c>
      <c r="B545" t="s">
        <v>252</v>
      </c>
      <c r="C545">
        <v>0</v>
      </c>
      <c r="D545" t="s">
        <v>222</v>
      </c>
      <c r="E545">
        <v>-1.4582164218182E-2</v>
      </c>
      <c r="F545">
        <v>0.70163041673397297</v>
      </c>
      <c r="G545">
        <v>-2.07832555008956E-2</v>
      </c>
      <c r="H545">
        <v>-1.414663862157</v>
      </c>
      <c r="I545">
        <v>1.3854995337206299</v>
      </c>
      <c r="J545">
        <v>0.98347941959875995</v>
      </c>
    </row>
    <row r="546" spans="1:10" hidden="1" x14ac:dyDescent="0.2">
      <c r="A546" t="s">
        <v>208</v>
      </c>
      <c r="B546" t="s">
        <v>252</v>
      </c>
      <c r="C546">
        <v>0</v>
      </c>
      <c r="D546" t="s">
        <v>223</v>
      </c>
      <c r="E546">
        <v>-0.32504413293484902</v>
      </c>
      <c r="F546">
        <v>0.648870888844298</v>
      </c>
      <c r="G546">
        <v>-0.50093807338742502</v>
      </c>
      <c r="H546">
        <v>-1.6198458321329099</v>
      </c>
      <c r="I546">
        <v>0.96975756626321497</v>
      </c>
      <c r="J546">
        <v>0.61803240941250903</v>
      </c>
    </row>
    <row r="547" spans="1:10" hidden="1" x14ac:dyDescent="0.2">
      <c r="A547" t="s">
        <v>208</v>
      </c>
      <c r="B547" t="s">
        <v>252</v>
      </c>
      <c r="C547">
        <v>1</v>
      </c>
      <c r="D547" t="s">
        <v>218</v>
      </c>
      <c r="E547">
        <v>0.58662739124999996</v>
      </c>
      <c r="F547">
        <v>0.42698734637368801</v>
      </c>
      <c r="G547">
        <v>1.3738753530569501</v>
      </c>
      <c r="H547">
        <v>-0.29105766914911801</v>
      </c>
      <c r="I547">
        <v>1.4643124516491199</v>
      </c>
      <c r="J547">
        <v>0.18121032077605501</v>
      </c>
    </row>
    <row r="548" spans="1:10" hidden="1" x14ac:dyDescent="0.2">
      <c r="A548" t="s">
        <v>208</v>
      </c>
      <c r="B548" t="s">
        <v>252</v>
      </c>
      <c r="C548">
        <v>1</v>
      </c>
      <c r="D548" t="s">
        <v>220</v>
      </c>
      <c r="E548">
        <v>-0.25528713240000001</v>
      </c>
      <c r="F548">
        <v>0.39183046168705399</v>
      </c>
      <c r="G548">
        <v>-0.65152446622154703</v>
      </c>
      <c r="H548">
        <v>-1.06070618135477</v>
      </c>
      <c r="I548">
        <v>0.55013191655476801</v>
      </c>
      <c r="J548">
        <v>0.52042586519968703</v>
      </c>
    </row>
    <row r="549" spans="1:10" hidden="1" x14ac:dyDescent="0.2">
      <c r="A549" t="s">
        <v>208</v>
      </c>
      <c r="B549" t="s">
        <v>252</v>
      </c>
      <c r="C549">
        <v>1</v>
      </c>
      <c r="D549" t="s">
        <v>221</v>
      </c>
      <c r="E549">
        <v>-0.20502929659999999</v>
      </c>
      <c r="F549">
        <v>0.39183046168705399</v>
      </c>
      <c r="G549">
        <v>-0.523260227694477</v>
      </c>
      <c r="H549">
        <v>-1.0104483455547699</v>
      </c>
      <c r="I549">
        <v>0.60038975235476799</v>
      </c>
      <c r="J549">
        <v>0.60522460246790899</v>
      </c>
    </row>
    <row r="550" spans="1:10" hidden="1" x14ac:dyDescent="0.2">
      <c r="A550" t="s">
        <v>208</v>
      </c>
      <c r="B550" t="s">
        <v>252</v>
      </c>
      <c r="C550">
        <v>1</v>
      </c>
      <c r="D550" t="s">
        <v>222</v>
      </c>
      <c r="E550">
        <v>-0.67938452650000003</v>
      </c>
      <c r="F550">
        <v>0.57118614325805905</v>
      </c>
      <c r="G550">
        <v>-1.1894275351722901</v>
      </c>
      <c r="H550">
        <v>-1.8534744589118299</v>
      </c>
      <c r="I550">
        <v>0.49470540591182499</v>
      </c>
      <c r="J550">
        <v>0.24502064657290801</v>
      </c>
    </row>
    <row r="551" spans="1:10" hidden="1" x14ac:dyDescent="0.2">
      <c r="A551" t="s">
        <v>208</v>
      </c>
      <c r="B551" t="s">
        <v>252</v>
      </c>
      <c r="C551">
        <v>1</v>
      </c>
      <c r="D551" t="s">
        <v>209</v>
      </c>
      <c r="E551">
        <v>0.218187568</v>
      </c>
      <c r="F551">
        <v>0.78366092337410798</v>
      </c>
      <c r="G551">
        <v>0.27842088522237102</v>
      </c>
      <c r="H551">
        <v>-1.39265052990954</v>
      </c>
      <c r="I551">
        <v>1.8290256659095301</v>
      </c>
      <c r="J551">
        <v>0.782891640353368</v>
      </c>
    </row>
    <row r="552" spans="1:10" hidden="1" x14ac:dyDescent="0.2">
      <c r="A552" t="s">
        <v>208</v>
      </c>
      <c r="B552" t="s">
        <v>253</v>
      </c>
      <c r="C552">
        <v>0</v>
      </c>
      <c r="D552" t="s">
        <v>218</v>
      </c>
      <c r="E552">
        <v>0.11555255701398599</v>
      </c>
      <c r="F552">
        <v>0.41156911468618501</v>
      </c>
      <c r="G552">
        <v>0.280761001957333</v>
      </c>
      <c r="H552">
        <v>-0.70572082447838203</v>
      </c>
      <c r="I552">
        <v>0.93682593850635398</v>
      </c>
      <c r="J552">
        <v>0.77974618954931696</v>
      </c>
    </row>
    <row r="553" spans="1:10" hidden="1" x14ac:dyDescent="0.2">
      <c r="A553" t="s">
        <v>208</v>
      </c>
      <c r="B553" t="s">
        <v>253</v>
      </c>
      <c r="C553">
        <v>0</v>
      </c>
      <c r="D553" t="s">
        <v>220</v>
      </c>
      <c r="E553">
        <v>0.70479619920201897</v>
      </c>
      <c r="F553">
        <v>0.47264920028977397</v>
      </c>
      <c r="G553">
        <v>1.49116130688451</v>
      </c>
      <c r="H553">
        <v>-0.23836059544138599</v>
      </c>
      <c r="I553">
        <v>1.64795299384542</v>
      </c>
      <c r="J553">
        <v>0.140543747387009</v>
      </c>
    </row>
    <row r="554" spans="1:10" hidden="1" x14ac:dyDescent="0.2">
      <c r="A554" t="s">
        <v>208</v>
      </c>
      <c r="B554" t="s">
        <v>253</v>
      </c>
      <c r="C554">
        <v>0</v>
      </c>
      <c r="D554" t="s">
        <v>221</v>
      </c>
      <c r="E554">
        <v>-0.216704486659092</v>
      </c>
      <c r="F554">
        <v>0.49531613086773102</v>
      </c>
      <c r="G554">
        <v>-0.43750742839619</v>
      </c>
      <c r="H554">
        <v>-1.20509243704169</v>
      </c>
      <c r="I554">
        <v>0.77168346372350405</v>
      </c>
      <c r="J554">
        <v>0.66312983977425999</v>
      </c>
    </row>
    <row r="555" spans="1:10" hidden="1" x14ac:dyDescent="0.2">
      <c r="A555" t="s">
        <v>208</v>
      </c>
      <c r="B555" t="s">
        <v>253</v>
      </c>
      <c r="C555">
        <v>0</v>
      </c>
      <c r="D555" t="s">
        <v>222</v>
      </c>
      <c r="E555">
        <v>-0.12344614390909101</v>
      </c>
      <c r="F555">
        <v>0.60317361140814596</v>
      </c>
      <c r="G555">
        <v>-0.204661048783116</v>
      </c>
      <c r="H555">
        <v>-1.32706034573238</v>
      </c>
      <c r="I555">
        <v>1.0801680579141999</v>
      </c>
      <c r="J555">
        <v>0.83844830965557204</v>
      </c>
    </row>
    <row r="556" spans="1:10" hidden="1" x14ac:dyDescent="0.2">
      <c r="A556" t="s">
        <v>208</v>
      </c>
      <c r="B556" t="s">
        <v>253</v>
      </c>
      <c r="C556">
        <v>0</v>
      </c>
      <c r="D556" t="s">
        <v>223</v>
      </c>
      <c r="E556">
        <v>5.6094049924242197E-2</v>
      </c>
      <c r="F556">
        <v>0.55781760315306295</v>
      </c>
      <c r="G556">
        <v>0.100559841796262</v>
      </c>
      <c r="H556">
        <v>-1.0570136465723601</v>
      </c>
      <c r="I556">
        <v>1.16920174642084</v>
      </c>
      <c r="J556">
        <v>0.92019578037014504</v>
      </c>
    </row>
    <row r="557" spans="1:10" hidden="1" x14ac:dyDescent="0.2">
      <c r="A557" t="s">
        <v>208</v>
      </c>
      <c r="B557" t="s">
        <v>253</v>
      </c>
      <c r="C557">
        <v>1</v>
      </c>
      <c r="D557" t="s">
        <v>218</v>
      </c>
      <c r="E557">
        <v>0.26697861186666699</v>
      </c>
      <c r="F557">
        <v>0.56899906075943296</v>
      </c>
      <c r="G557">
        <v>0.46920747375283001</v>
      </c>
      <c r="H557">
        <v>-0.90261570808449199</v>
      </c>
      <c r="I557">
        <v>1.43657293181783</v>
      </c>
      <c r="J557">
        <v>0.64283223784277799</v>
      </c>
    </row>
    <row r="558" spans="1:10" hidden="1" x14ac:dyDescent="0.2">
      <c r="A558" t="s">
        <v>208</v>
      </c>
      <c r="B558" t="s">
        <v>253</v>
      </c>
      <c r="C558">
        <v>1</v>
      </c>
      <c r="D558" t="s">
        <v>220</v>
      </c>
      <c r="E558">
        <v>-0.66106319633333399</v>
      </c>
      <c r="F558">
        <v>0.52214934838314297</v>
      </c>
      <c r="G558">
        <v>-1.2660423658103599</v>
      </c>
      <c r="H558">
        <v>-1.73435655330308</v>
      </c>
      <c r="I558">
        <v>0.41223016063640999</v>
      </c>
      <c r="J558">
        <v>0.21672464714283199</v>
      </c>
    </row>
    <row r="559" spans="1:10" hidden="1" x14ac:dyDescent="0.2">
      <c r="A559" t="s">
        <v>208</v>
      </c>
      <c r="B559" t="s">
        <v>253</v>
      </c>
      <c r="C559">
        <v>1</v>
      </c>
      <c r="D559" t="s">
        <v>221</v>
      </c>
      <c r="E559">
        <v>-9.6404995733332999E-2</v>
      </c>
      <c r="F559">
        <v>0.52214934838314297</v>
      </c>
      <c r="G559">
        <v>-0.184631075442027</v>
      </c>
      <c r="H559">
        <v>-1.16969835270308</v>
      </c>
      <c r="I559">
        <v>0.97688836123640999</v>
      </c>
      <c r="J559">
        <v>0.85495101219904002</v>
      </c>
    </row>
    <row r="560" spans="1:10" hidden="1" x14ac:dyDescent="0.2">
      <c r="A560" t="s">
        <v>208</v>
      </c>
      <c r="B560" t="s">
        <v>253</v>
      </c>
      <c r="C560">
        <v>1</v>
      </c>
      <c r="D560" t="s">
        <v>222</v>
      </c>
      <c r="E560">
        <v>-1.02804061313333</v>
      </c>
      <c r="F560">
        <v>0.76115693308673105</v>
      </c>
      <c r="G560">
        <v>-1.3506289812855099</v>
      </c>
      <c r="H560">
        <v>-2.5926210965202299</v>
      </c>
      <c r="I560">
        <v>0.53653987025356598</v>
      </c>
      <c r="J560">
        <v>0.188453393393336</v>
      </c>
    </row>
    <row r="561" spans="1:10" hidden="1" x14ac:dyDescent="0.2">
      <c r="A561" t="s">
        <v>208</v>
      </c>
      <c r="B561" t="s">
        <v>253</v>
      </c>
      <c r="C561">
        <v>1</v>
      </c>
      <c r="D561" t="s">
        <v>209</v>
      </c>
      <c r="E561">
        <v>-0.55603819213333305</v>
      </c>
      <c r="F561">
        <v>1.0442986967662899</v>
      </c>
      <c r="G561">
        <v>-0.53245129372958999</v>
      </c>
      <c r="H561">
        <v>-2.70262490607282</v>
      </c>
      <c r="I561">
        <v>1.5905485218061499</v>
      </c>
      <c r="J561">
        <v>0.59893485693944604</v>
      </c>
    </row>
    <row r="562" spans="1:10" hidden="1" x14ac:dyDescent="0.2">
      <c r="A562" t="s">
        <v>208</v>
      </c>
      <c r="B562" t="s">
        <v>254</v>
      </c>
      <c r="C562">
        <v>0</v>
      </c>
      <c r="D562" t="s">
        <v>218</v>
      </c>
      <c r="E562">
        <v>0.140268580927739</v>
      </c>
      <c r="F562">
        <v>0.36687654810089099</v>
      </c>
      <c r="G562">
        <v>0.382331827024183</v>
      </c>
      <c r="H562">
        <v>-0.59182217247781499</v>
      </c>
      <c r="I562">
        <v>0.87235933433329305</v>
      </c>
      <c r="J562">
        <v>0.703407613849936</v>
      </c>
    </row>
    <row r="563" spans="1:10" hidden="1" x14ac:dyDescent="0.2">
      <c r="A563" t="s">
        <v>208</v>
      </c>
      <c r="B563" t="s">
        <v>254</v>
      </c>
      <c r="C563">
        <v>0</v>
      </c>
      <c r="D563" t="s">
        <v>220</v>
      </c>
      <c r="E563">
        <v>0.82939064225252401</v>
      </c>
      <c r="F563">
        <v>0.42132390618566401</v>
      </c>
      <c r="G563">
        <v>1.9685344934760001</v>
      </c>
      <c r="H563">
        <v>-1.1348122609629601E-2</v>
      </c>
      <c r="I563">
        <v>1.6701294071146799</v>
      </c>
      <c r="J563">
        <v>5.3084577699241298E-2</v>
      </c>
    </row>
    <row r="564" spans="1:10" hidden="1" x14ac:dyDescent="0.2">
      <c r="A564" t="s">
        <v>208</v>
      </c>
      <c r="B564" t="s">
        <v>254</v>
      </c>
      <c r="C564">
        <v>0</v>
      </c>
      <c r="D564" t="s">
        <v>221</v>
      </c>
      <c r="E564">
        <v>7.3746149469696397E-3</v>
      </c>
      <c r="F564">
        <v>0.44152941954840502</v>
      </c>
      <c r="G564">
        <v>1.6702431639804099E-2</v>
      </c>
      <c r="H564">
        <v>-0.87368362407412503</v>
      </c>
      <c r="I564">
        <v>0.88843285396806504</v>
      </c>
      <c r="J564">
        <v>0.98672291725320904</v>
      </c>
    </row>
    <row r="565" spans="1:10" hidden="1" x14ac:dyDescent="0.2">
      <c r="A565" t="s">
        <v>208</v>
      </c>
      <c r="B565" t="s">
        <v>254</v>
      </c>
      <c r="C565">
        <v>0</v>
      </c>
      <c r="D565" t="s">
        <v>222</v>
      </c>
      <c r="E565">
        <v>-0.21049831370302999</v>
      </c>
      <c r="F565">
        <v>0.53767458383678501</v>
      </c>
      <c r="G565">
        <v>-0.39149760846223702</v>
      </c>
      <c r="H565">
        <v>-1.2834112409688101</v>
      </c>
      <c r="I565">
        <v>0.86241461356274596</v>
      </c>
      <c r="J565">
        <v>0.69665359519135495</v>
      </c>
    </row>
    <row r="566" spans="1:10" hidden="1" x14ac:dyDescent="0.2">
      <c r="A566" t="s">
        <v>208</v>
      </c>
      <c r="B566" t="s">
        <v>254</v>
      </c>
      <c r="C566">
        <v>0</v>
      </c>
      <c r="D566" t="s">
        <v>223</v>
      </c>
      <c r="E566">
        <v>0.37121135986363701</v>
      </c>
      <c r="F566">
        <v>0.49724381498050602</v>
      </c>
      <c r="G566">
        <v>0.74653791295159699</v>
      </c>
      <c r="H566">
        <v>-0.62102322427561196</v>
      </c>
      <c r="I566">
        <v>1.3634459440028901</v>
      </c>
      <c r="J566">
        <v>0.45791588570282898</v>
      </c>
    </row>
    <row r="567" spans="1:10" hidden="1" x14ac:dyDescent="0.2">
      <c r="A567" t="s">
        <v>208</v>
      </c>
      <c r="B567" t="s">
        <v>254</v>
      </c>
      <c r="C567">
        <v>1</v>
      </c>
      <c r="D567" t="s">
        <v>218</v>
      </c>
      <c r="E567">
        <v>0.323229674383333</v>
      </c>
      <c r="F567">
        <v>0.46834732500871601</v>
      </c>
      <c r="G567">
        <v>0.69014950470213199</v>
      </c>
      <c r="H567">
        <v>-0.63947203968172295</v>
      </c>
      <c r="I567">
        <v>1.2859313884483901</v>
      </c>
      <c r="J567">
        <v>0.496215085433939</v>
      </c>
    </row>
    <row r="568" spans="1:10" hidden="1" x14ac:dyDescent="0.2">
      <c r="A568" t="s">
        <v>208</v>
      </c>
      <c r="B568" t="s">
        <v>254</v>
      </c>
      <c r="C568">
        <v>1</v>
      </c>
      <c r="D568" t="s">
        <v>220</v>
      </c>
      <c r="E568">
        <v>-0.71844340006666696</v>
      </c>
      <c r="F568">
        <v>0.42978498109275598</v>
      </c>
      <c r="G568">
        <v>-1.6716344955563101</v>
      </c>
      <c r="H568">
        <v>-1.6018790809893999</v>
      </c>
      <c r="I568">
        <v>0.16499228085606399</v>
      </c>
      <c r="J568">
        <v>0.106590890333311</v>
      </c>
    </row>
    <row r="569" spans="1:10" hidden="1" x14ac:dyDescent="0.2">
      <c r="A569" t="s">
        <v>208</v>
      </c>
      <c r="B569" t="s">
        <v>254</v>
      </c>
      <c r="C569">
        <v>1</v>
      </c>
      <c r="D569" t="s">
        <v>221</v>
      </c>
      <c r="E569">
        <v>-0.166160971066667</v>
      </c>
      <c r="F569">
        <v>0.42978498109275598</v>
      </c>
      <c r="G569">
        <v>-0.38661418703881101</v>
      </c>
      <c r="H569">
        <v>-1.0495966519894</v>
      </c>
      <c r="I569">
        <v>0.71727470985606401</v>
      </c>
      <c r="J569">
        <v>0.70218795682824897</v>
      </c>
    </row>
    <row r="570" spans="1:10" hidden="1" x14ac:dyDescent="0.2">
      <c r="A570" t="s">
        <v>208</v>
      </c>
      <c r="B570" t="s">
        <v>254</v>
      </c>
      <c r="C570">
        <v>1</v>
      </c>
      <c r="D570" t="s">
        <v>222</v>
      </c>
      <c r="E570">
        <v>-1.0339430328666701</v>
      </c>
      <c r="F570">
        <v>0.62651388746971404</v>
      </c>
      <c r="G570">
        <v>-1.65031143530182</v>
      </c>
      <c r="H570">
        <v>-2.3217607722792502</v>
      </c>
      <c r="I570">
        <v>0.25387470654591898</v>
      </c>
      <c r="J570">
        <v>0.11090963024339601</v>
      </c>
    </row>
    <row r="571" spans="1:10" hidden="1" x14ac:dyDescent="0.2">
      <c r="A571" t="s">
        <v>208</v>
      </c>
      <c r="B571" t="s">
        <v>254</v>
      </c>
      <c r="C571">
        <v>1</v>
      </c>
      <c r="D571" t="s">
        <v>209</v>
      </c>
      <c r="E571">
        <v>-0.41300328286666699</v>
      </c>
      <c r="F571">
        <v>0.85956996218551196</v>
      </c>
      <c r="G571">
        <v>-0.48047663487051001</v>
      </c>
      <c r="H571">
        <v>-2.1798746447121302</v>
      </c>
      <c r="I571">
        <v>1.35386807897879</v>
      </c>
      <c r="J571">
        <v>0.63490668080269796</v>
      </c>
    </row>
    <row r="572" spans="1:10" hidden="1" x14ac:dyDescent="0.2">
      <c r="A572" t="s">
        <v>208</v>
      </c>
      <c r="B572" t="s">
        <v>255</v>
      </c>
      <c r="C572">
        <v>0</v>
      </c>
      <c r="D572" t="s">
        <v>218</v>
      </c>
      <c r="E572">
        <v>0.108187445955711</v>
      </c>
      <c r="F572">
        <v>0.24374891907212401</v>
      </c>
      <c r="G572">
        <v>0.44384790040319599</v>
      </c>
      <c r="H572">
        <v>-0.37820594912231997</v>
      </c>
      <c r="I572">
        <v>0.59458084103374098</v>
      </c>
      <c r="J572">
        <v>0.65856173562261999</v>
      </c>
    </row>
    <row r="573" spans="1:10" hidden="1" x14ac:dyDescent="0.2">
      <c r="A573" t="s">
        <v>208</v>
      </c>
      <c r="B573" t="s">
        <v>255</v>
      </c>
      <c r="C573">
        <v>0</v>
      </c>
      <c r="D573" t="s">
        <v>220</v>
      </c>
      <c r="E573">
        <v>0.26148793887878802</v>
      </c>
      <c r="F573">
        <v>0.27992317100562902</v>
      </c>
      <c r="G573">
        <v>0.93414181448212197</v>
      </c>
      <c r="H573">
        <v>-0.29709005205026801</v>
      </c>
      <c r="I573">
        <v>0.82006592980784399</v>
      </c>
      <c r="J573">
        <v>0.35353610220662801</v>
      </c>
    </row>
    <row r="574" spans="1:10" hidden="1" x14ac:dyDescent="0.2">
      <c r="A574" t="s">
        <v>208</v>
      </c>
      <c r="B574" t="s">
        <v>255</v>
      </c>
      <c r="C574">
        <v>0</v>
      </c>
      <c r="D574" t="s">
        <v>221</v>
      </c>
      <c r="E574">
        <v>-0.270775321121213</v>
      </c>
      <c r="F574">
        <v>0.29334750152487299</v>
      </c>
      <c r="G574">
        <v>-0.92305310157296105</v>
      </c>
      <c r="H574">
        <v>-0.85614114652666495</v>
      </c>
      <c r="I574">
        <v>0.31459050428424001</v>
      </c>
      <c r="J574">
        <v>0.359243271040315</v>
      </c>
    </row>
    <row r="575" spans="1:10" hidden="1" x14ac:dyDescent="0.2">
      <c r="A575" t="s">
        <v>208</v>
      </c>
      <c r="B575" t="s">
        <v>255</v>
      </c>
      <c r="C575">
        <v>0</v>
      </c>
      <c r="D575" t="s">
        <v>222</v>
      </c>
      <c r="E575">
        <v>0.40238268027878799</v>
      </c>
      <c r="F575">
        <v>0.35722533724540501</v>
      </c>
      <c r="G575">
        <v>1.12641136651055</v>
      </c>
      <c r="H575">
        <v>-0.31044938171396502</v>
      </c>
      <c r="I575">
        <v>1.1152147422715399</v>
      </c>
      <c r="J575">
        <v>0.26395096278811297</v>
      </c>
    </row>
    <row r="576" spans="1:10" hidden="1" x14ac:dyDescent="0.2">
      <c r="A576" t="s">
        <v>208</v>
      </c>
      <c r="B576" t="s">
        <v>255</v>
      </c>
      <c r="C576">
        <v>0</v>
      </c>
      <c r="D576" t="s">
        <v>223</v>
      </c>
      <c r="E576">
        <v>-0.33246823328788</v>
      </c>
      <c r="F576">
        <v>0.33036355974289999</v>
      </c>
      <c r="G576">
        <v>-1.00637077995714</v>
      </c>
      <c r="H576">
        <v>-0.99169845283140401</v>
      </c>
      <c r="I576">
        <v>0.32676198625564501</v>
      </c>
      <c r="J576">
        <v>0.31780498195262402</v>
      </c>
    </row>
    <row r="577" spans="1:10" hidden="1" x14ac:dyDescent="0.2">
      <c r="A577" t="s">
        <v>208</v>
      </c>
      <c r="B577" t="s">
        <v>255</v>
      </c>
      <c r="C577">
        <v>1</v>
      </c>
      <c r="D577" t="s">
        <v>218</v>
      </c>
      <c r="E577">
        <v>1.7323056408666599</v>
      </c>
      <c r="F577">
        <v>0.82220958599796701</v>
      </c>
      <c r="G577">
        <v>2.1068905913618798</v>
      </c>
      <c r="H577">
        <v>4.2229632113475399E-2</v>
      </c>
      <c r="I577">
        <v>3.42238164961985</v>
      </c>
      <c r="J577">
        <v>4.4928707654237898E-2</v>
      </c>
    </row>
    <row r="578" spans="1:10" hidden="1" x14ac:dyDescent="0.2">
      <c r="A578" t="s">
        <v>208</v>
      </c>
      <c r="B578" t="s">
        <v>255</v>
      </c>
      <c r="C578">
        <v>1</v>
      </c>
      <c r="D578" t="s">
        <v>220</v>
      </c>
      <c r="E578">
        <v>0.88221303426666697</v>
      </c>
      <c r="F578">
        <v>0.75451126226853804</v>
      </c>
      <c r="G578">
        <v>1.1692509819060599</v>
      </c>
      <c r="H578">
        <v>-0.66870707711390598</v>
      </c>
      <c r="I578">
        <v>2.4331331456472398</v>
      </c>
      <c r="J578">
        <v>0.25291076126315798</v>
      </c>
    </row>
    <row r="579" spans="1:10" hidden="1" x14ac:dyDescent="0.2">
      <c r="A579" t="s">
        <v>208</v>
      </c>
      <c r="B579" t="s">
        <v>255</v>
      </c>
      <c r="C579">
        <v>1</v>
      </c>
      <c r="D579" t="s">
        <v>221</v>
      </c>
      <c r="E579">
        <v>0.18018289546666599</v>
      </c>
      <c r="F579">
        <v>0.75451126226853804</v>
      </c>
      <c r="G579">
        <v>0.23880743002420199</v>
      </c>
      <c r="H579">
        <v>-1.37073721591391</v>
      </c>
      <c r="I579">
        <v>1.7311030068472399</v>
      </c>
      <c r="J579">
        <v>0.81312722566125795</v>
      </c>
    </row>
    <row r="580" spans="1:10" hidden="1" x14ac:dyDescent="0.2">
      <c r="A580" t="s">
        <v>208</v>
      </c>
      <c r="B580" t="s">
        <v>255</v>
      </c>
      <c r="C580">
        <v>1</v>
      </c>
      <c r="D580" t="s">
        <v>222</v>
      </c>
      <c r="E580">
        <v>-0.95773864063333303</v>
      </c>
      <c r="F580">
        <v>1.09987971860171</v>
      </c>
      <c r="G580">
        <v>-0.87076670697311898</v>
      </c>
      <c r="H580">
        <v>-3.2185737811853898</v>
      </c>
      <c r="I580">
        <v>1.30309649991873</v>
      </c>
      <c r="J580">
        <v>0.39185074908682899</v>
      </c>
    </row>
    <row r="581" spans="1:10" hidden="1" x14ac:dyDescent="0.2">
      <c r="A581" t="s">
        <v>208</v>
      </c>
      <c r="B581" t="s">
        <v>255</v>
      </c>
      <c r="C581">
        <v>1</v>
      </c>
      <c r="D581" t="s">
        <v>209</v>
      </c>
      <c r="E581">
        <v>0.92810540986666701</v>
      </c>
      <c r="F581">
        <v>1.5090225245370801</v>
      </c>
      <c r="G581">
        <v>0.615037479411636</v>
      </c>
      <c r="H581">
        <v>-2.1737348128944798</v>
      </c>
      <c r="I581">
        <v>4.0299456326278102</v>
      </c>
      <c r="J581">
        <v>0.54387595749321105</v>
      </c>
    </row>
    <row r="582" spans="1:10" hidden="1" x14ac:dyDescent="0.2">
      <c r="A582" t="s">
        <v>208</v>
      </c>
      <c r="B582" t="s">
        <v>26</v>
      </c>
      <c r="C582">
        <v>0</v>
      </c>
      <c r="D582" t="s">
        <v>218</v>
      </c>
      <c r="E582">
        <v>0.56895016810256405</v>
      </c>
      <c r="F582">
        <v>0.42931789773582202</v>
      </c>
      <c r="G582">
        <v>1.3252421366617799</v>
      </c>
      <c r="H582">
        <v>-0.28774035853604402</v>
      </c>
      <c r="I582">
        <v>1.4256406947411699</v>
      </c>
      <c r="J582">
        <v>0.18952651262366399</v>
      </c>
    </row>
    <row r="583" spans="1:10" hidden="1" x14ac:dyDescent="0.2">
      <c r="A583" t="s">
        <v>208</v>
      </c>
      <c r="B583" t="s">
        <v>26</v>
      </c>
      <c r="C583">
        <v>0</v>
      </c>
      <c r="D583" t="s">
        <v>220</v>
      </c>
      <c r="E583">
        <v>0.92563106677777696</v>
      </c>
      <c r="F583">
        <v>0.49303204199285999</v>
      </c>
      <c r="G583">
        <v>1.8774257815705599</v>
      </c>
      <c r="H583">
        <v>-5.8199055218390097E-2</v>
      </c>
      <c r="I583">
        <v>1.9094611887739401</v>
      </c>
      <c r="J583">
        <v>6.4749537931197296E-2</v>
      </c>
    </row>
    <row r="584" spans="1:10" hidden="1" x14ac:dyDescent="0.2">
      <c r="A584" t="s">
        <v>208</v>
      </c>
      <c r="B584" t="s">
        <v>26</v>
      </c>
      <c r="C584">
        <v>0</v>
      </c>
      <c r="D584" t="s">
        <v>221</v>
      </c>
      <c r="E584">
        <v>-0.14067217741666799</v>
      </c>
      <c r="F584">
        <v>0.51667647651577697</v>
      </c>
      <c r="G584">
        <v>-0.272263561068805</v>
      </c>
      <c r="H584">
        <v>-1.17168403390454</v>
      </c>
      <c r="I584">
        <v>0.89033967907120604</v>
      </c>
      <c r="J584">
        <v>0.78624438569151001</v>
      </c>
    </row>
    <row r="585" spans="1:10" hidden="1" x14ac:dyDescent="0.2">
      <c r="A585" t="s">
        <v>208</v>
      </c>
      <c r="B585" t="s">
        <v>26</v>
      </c>
      <c r="C585">
        <v>0</v>
      </c>
      <c r="D585" t="s">
        <v>222</v>
      </c>
      <c r="E585">
        <v>-2.7233377666666898E-2</v>
      </c>
      <c r="F585">
        <v>0.62918527552029002</v>
      </c>
      <c r="G585">
        <v>-4.3283558478298602E-2</v>
      </c>
      <c r="H585">
        <v>-1.28275304708053</v>
      </c>
      <c r="I585">
        <v>1.2282862917471999</v>
      </c>
      <c r="J585">
        <v>0.96560234591456895</v>
      </c>
    </row>
    <row r="586" spans="1:10" hidden="1" x14ac:dyDescent="0.2">
      <c r="A586" t="s">
        <v>208</v>
      </c>
      <c r="B586" t="s">
        <v>26</v>
      </c>
      <c r="C586">
        <v>0</v>
      </c>
      <c r="D586" t="s">
        <v>223</v>
      </c>
      <c r="E586">
        <v>-5.8942607166667702E-2</v>
      </c>
      <c r="F586">
        <v>0.58187330428890105</v>
      </c>
      <c r="G586">
        <v>-0.10129800891742299</v>
      </c>
      <c r="H586">
        <v>-1.2200527079035901</v>
      </c>
      <c r="I586">
        <v>1.1021674935702599</v>
      </c>
      <c r="J586">
        <v>0.91961199424124296</v>
      </c>
    </row>
    <row r="587" spans="1:10" hidden="1" x14ac:dyDescent="0.2">
      <c r="A587" t="s">
        <v>208</v>
      </c>
      <c r="B587" t="s">
        <v>26</v>
      </c>
      <c r="C587">
        <v>1</v>
      </c>
      <c r="D587" t="s">
        <v>218</v>
      </c>
      <c r="E587">
        <v>0.41985505504999998</v>
      </c>
      <c r="F587">
        <v>0.52216919758043001</v>
      </c>
      <c r="G587">
        <v>0.80405940640596596</v>
      </c>
      <c r="H587">
        <v>-0.65347910252910002</v>
      </c>
      <c r="I587">
        <v>1.4931892126291</v>
      </c>
      <c r="J587">
        <v>0.42865351763486997</v>
      </c>
    </row>
    <row r="588" spans="1:10" hidden="1" x14ac:dyDescent="0.2">
      <c r="A588" t="s">
        <v>208</v>
      </c>
      <c r="B588" t="s">
        <v>26</v>
      </c>
      <c r="C588">
        <v>1</v>
      </c>
      <c r="D588" t="s">
        <v>220</v>
      </c>
      <c r="E588">
        <v>-0.20614464860000001</v>
      </c>
      <c r="F588">
        <v>0.47917531867006702</v>
      </c>
      <c r="G588">
        <v>-0.43020715084438599</v>
      </c>
      <c r="H588">
        <v>-1.1911036223974001</v>
      </c>
      <c r="I588">
        <v>0.77881432519740201</v>
      </c>
      <c r="J588">
        <v>0.67058994824433704</v>
      </c>
    </row>
    <row r="589" spans="1:10" hidden="1" x14ac:dyDescent="0.2">
      <c r="A589" t="s">
        <v>208</v>
      </c>
      <c r="B589" t="s">
        <v>26</v>
      </c>
      <c r="C589">
        <v>1</v>
      </c>
      <c r="D589" t="s">
        <v>221</v>
      </c>
      <c r="E589">
        <v>-4.22340072E-2</v>
      </c>
      <c r="F589">
        <v>0.47917531867006702</v>
      </c>
      <c r="G589">
        <v>-8.8138945297138602E-2</v>
      </c>
      <c r="H589">
        <v>-1.0271929809974001</v>
      </c>
      <c r="I589">
        <v>0.94272496659740201</v>
      </c>
      <c r="J589">
        <v>0.93044161846353801</v>
      </c>
    </row>
    <row r="590" spans="1:10" hidden="1" x14ac:dyDescent="0.2">
      <c r="A590" t="s">
        <v>208</v>
      </c>
      <c r="B590" t="s">
        <v>26</v>
      </c>
      <c r="C590">
        <v>1</v>
      </c>
      <c r="D590" t="s">
        <v>222</v>
      </c>
      <c r="E590">
        <v>-0.44485381070000002</v>
      </c>
      <c r="F590">
        <v>0.69851205809058203</v>
      </c>
      <c r="G590">
        <v>-0.63685917164555494</v>
      </c>
      <c r="H590">
        <v>-1.88066590935221</v>
      </c>
      <c r="I590">
        <v>0.99095828795221097</v>
      </c>
      <c r="J590">
        <v>0.52978454205740499</v>
      </c>
    </row>
    <row r="591" spans="1:10" hidden="1" x14ac:dyDescent="0.2">
      <c r="A591" t="s">
        <v>208</v>
      </c>
      <c r="B591" t="s">
        <v>26</v>
      </c>
      <c r="C591">
        <v>1</v>
      </c>
      <c r="D591" t="s">
        <v>209</v>
      </c>
      <c r="E591">
        <v>0.14384947880000001</v>
      </c>
      <c r="F591">
        <v>0.95835063734013404</v>
      </c>
      <c r="G591">
        <v>0.15010109368659599</v>
      </c>
      <c r="H591">
        <v>-1.8260684687947999</v>
      </c>
      <c r="I591">
        <v>2.1137674263948001</v>
      </c>
      <c r="J591">
        <v>0.88184323505662099</v>
      </c>
    </row>
    <row r="592" spans="1:10" hidden="1" x14ac:dyDescent="0.2">
      <c r="A592" t="s">
        <v>208</v>
      </c>
      <c r="B592" t="s">
        <v>17</v>
      </c>
      <c r="C592">
        <v>0</v>
      </c>
      <c r="D592" t="s">
        <v>218</v>
      </c>
      <c r="E592">
        <v>0.44772196013286703</v>
      </c>
      <c r="F592">
        <v>0.43534087644325498</v>
      </c>
      <c r="G592">
        <v>1.0284399751081601</v>
      </c>
      <c r="H592">
        <v>-0.42098723339108701</v>
      </c>
      <c r="I592">
        <v>1.3164311536568201</v>
      </c>
      <c r="J592">
        <v>0.307387291095366</v>
      </c>
    </row>
    <row r="593" spans="1:10" hidden="1" x14ac:dyDescent="0.2">
      <c r="A593" t="s">
        <v>208</v>
      </c>
      <c r="B593" t="s">
        <v>17</v>
      </c>
      <c r="C593">
        <v>0</v>
      </c>
      <c r="D593" t="s">
        <v>220</v>
      </c>
      <c r="E593">
        <v>0.79067847469696895</v>
      </c>
      <c r="F593">
        <v>0.49994887799402898</v>
      </c>
      <c r="G593">
        <v>1.5815186502056999</v>
      </c>
      <c r="H593">
        <v>-0.20695397864332599</v>
      </c>
      <c r="I593">
        <v>1.78831092803726</v>
      </c>
      <c r="J593">
        <v>0.118400017032063</v>
      </c>
    </row>
    <row r="594" spans="1:10" hidden="1" x14ac:dyDescent="0.2">
      <c r="A594" t="s">
        <v>208</v>
      </c>
      <c r="B594" t="s">
        <v>17</v>
      </c>
      <c r="C594">
        <v>0</v>
      </c>
      <c r="D594" t="s">
        <v>221</v>
      </c>
      <c r="E594">
        <v>-0.19425423388636301</v>
      </c>
      <c r="F594">
        <v>0.52392502458027201</v>
      </c>
      <c r="G594">
        <v>-0.37076723724350502</v>
      </c>
      <c r="H594">
        <v>-1.23973034283491</v>
      </c>
      <c r="I594">
        <v>0.85122187506218705</v>
      </c>
      <c r="J594">
        <v>0.71196344344720697</v>
      </c>
    </row>
    <row r="595" spans="1:10" hidden="1" x14ac:dyDescent="0.2">
      <c r="A595" t="s">
        <v>208</v>
      </c>
      <c r="B595" t="s">
        <v>17</v>
      </c>
      <c r="C595">
        <v>0</v>
      </c>
      <c r="D595" t="s">
        <v>222</v>
      </c>
      <c r="E595">
        <v>-0.15657888903636399</v>
      </c>
      <c r="F595">
        <v>0.63801222994607798</v>
      </c>
      <c r="G595">
        <v>-0.24541675172840699</v>
      </c>
      <c r="H595">
        <v>-1.4297124717660401</v>
      </c>
      <c r="I595">
        <v>1.11655469369331</v>
      </c>
      <c r="J595">
        <v>0.80687293412090499</v>
      </c>
    </row>
    <row r="596" spans="1:10" hidden="1" x14ac:dyDescent="0.2">
      <c r="A596" t="s">
        <v>208</v>
      </c>
      <c r="B596" t="s">
        <v>17</v>
      </c>
      <c r="C596">
        <v>0</v>
      </c>
      <c r="D596" t="s">
        <v>223</v>
      </c>
      <c r="E596">
        <v>-0.22519481363636401</v>
      </c>
      <c r="F596">
        <v>0.59003651048328198</v>
      </c>
      <c r="G596">
        <v>-0.38166250670134499</v>
      </c>
      <c r="H596">
        <v>-1.4025943387150299</v>
      </c>
      <c r="I596">
        <v>0.95220471144230501</v>
      </c>
      <c r="J596">
        <v>0.70390176453259201</v>
      </c>
    </row>
    <row r="597" spans="1:10" hidden="1" x14ac:dyDescent="0.2">
      <c r="A597" t="s">
        <v>208</v>
      </c>
      <c r="B597" t="s">
        <v>17</v>
      </c>
      <c r="C597">
        <v>1</v>
      </c>
      <c r="D597" t="s">
        <v>218</v>
      </c>
      <c r="E597">
        <v>0.75203276383333295</v>
      </c>
      <c r="F597">
        <v>0.377146877832441</v>
      </c>
      <c r="G597">
        <v>1.9940050098133</v>
      </c>
      <c r="H597">
        <v>-2.32037462434963E-2</v>
      </c>
      <c r="I597">
        <v>1.5272692739101601</v>
      </c>
      <c r="J597">
        <v>5.6738269264401703E-2</v>
      </c>
    </row>
    <row r="598" spans="1:10" hidden="1" x14ac:dyDescent="0.2">
      <c r="A598" t="s">
        <v>208</v>
      </c>
      <c r="B598" t="s">
        <v>17</v>
      </c>
      <c r="C598">
        <v>1</v>
      </c>
      <c r="D598" t="s">
        <v>220</v>
      </c>
      <c r="E598">
        <v>0.44422753393333297</v>
      </c>
      <c r="F598">
        <v>0.346093711019682</v>
      </c>
      <c r="G598">
        <v>1.28354696947403</v>
      </c>
      <c r="H598">
        <v>-0.26717827759678298</v>
      </c>
      <c r="I598">
        <v>1.15563334546345</v>
      </c>
      <c r="J598">
        <v>0.21062283144663899</v>
      </c>
    </row>
    <row r="599" spans="1:10" hidden="1" x14ac:dyDescent="0.2">
      <c r="A599" t="s">
        <v>208</v>
      </c>
      <c r="B599" t="s">
        <v>17</v>
      </c>
      <c r="C599">
        <v>1</v>
      </c>
      <c r="D599" t="s">
        <v>221</v>
      </c>
      <c r="E599">
        <v>0.411795035333333</v>
      </c>
      <c r="F599">
        <v>0.346093711019682</v>
      </c>
      <c r="G599">
        <v>1.1898368049511201</v>
      </c>
      <c r="H599">
        <v>-0.299610776196783</v>
      </c>
      <c r="I599">
        <v>1.12320084686345</v>
      </c>
      <c r="J599">
        <v>0.244862512438941</v>
      </c>
    </row>
    <row r="600" spans="1:10" hidden="1" x14ac:dyDescent="0.2">
      <c r="A600" t="s">
        <v>208</v>
      </c>
      <c r="B600" t="s">
        <v>17</v>
      </c>
      <c r="C600">
        <v>1</v>
      </c>
      <c r="D600" t="s">
        <v>222</v>
      </c>
      <c r="E600">
        <v>-0.27599540966666702</v>
      </c>
      <c r="F600">
        <v>0.50451394501606395</v>
      </c>
      <c r="G600">
        <v>-0.54705209319413095</v>
      </c>
      <c r="H600">
        <v>-1.3130386758530399</v>
      </c>
      <c r="I600">
        <v>0.76104785651970497</v>
      </c>
      <c r="J600">
        <v>0.58900805415303004</v>
      </c>
    </row>
    <row r="601" spans="1:10" hidden="1" x14ac:dyDescent="0.2">
      <c r="A601" t="s">
        <v>208</v>
      </c>
      <c r="B601" t="s">
        <v>17</v>
      </c>
      <c r="C601">
        <v>1</v>
      </c>
      <c r="D601" t="s">
        <v>209</v>
      </c>
      <c r="E601">
        <v>0.79036241933333296</v>
      </c>
      <c r="F601">
        <v>0.69218742203936401</v>
      </c>
      <c r="G601">
        <v>1.14183296917578</v>
      </c>
      <c r="H601">
        <v>-0.63244920372689895</v>
      </c>
      <c r="I601">
        <v>2.2131740423935602</v>
      </c>
      <c r="J601">
        <v>0.263930718914694</v>
      </c>
    </row>
    <row r="602" spans="1:10" hidden="1" x14ac:dyDescent="0.2">
      <c r="A602" t="s">
        <v>208</v>
      </c>
      <c r="B602" t="s">
        <v>21</v>
      </c>
      <c r="C602">
        <v>0</v>
      </c>
      <c r="D602" t="s">
        <v>218</v>
      </c>
      <c r="E602">
        <v>0.34549842536596698</v>
      </c>
      <c r="F602">
        <v>0.39978075734630603</v>
      </c>
      <c r="G602">
        <v>0.864219747992229</v>
      </c>
      <c r="H602">
        <v>-0.45225165530208</v>
      </c>
      <c r="I602">
        <v>1.1432485060340101</v>
      </c>
      <c r="J602">
        <v>0.39050552591571303</v>
      </c>
    </row>
    <row r="603" spans="1:10" hidden="1" x14ac:dyDescent="0.2">
      <c r="A603" t="s">
        <v>208</v>
      </c>
      <c r="B603" t="s">
        <v>21</v>
      </c>
      <c r="C603">
        <v>0</v>
      </c>
      <c r="D603" t="s">
        <v>220</v>
      </c>
      <c r="E603">
        <v>0.59859922276767596</v>
      </c>
      <c r="F603">
        <v>0.459111358234565</v>
      </c>
      <c r="G603">
        <v>1.3038214194253199</v>
      </c>
      <c r="H603">
        <v>-0.31754322865595502</v>
      </c>
      <c r="I603">
        <v>1.51474167419131</v>
      </c>
      <c r="J603">
        <v>0.19669114354046699</v>
      </c>
    </row>
    <row r="604" spans="1:10" hidden="1" x14ac:dyDescent="0.2">
      <c r="A604" t="s">
        <v>208</v>
      </c>
      <c r="B604" t="s">
        <v>21</v>
      </c>
      <c r="C604">
        <v>0</v>
      </c>
      <c r="D604" t="s">
        <v>221</v>
      </c>
      <c r="E604">
        <v>-0.26553074216287997</v>
      </c>
      <c r="F604">
        <v>0.48112905186077698</v>
      </c>
      <c r="G604">
        <v>-0.55189089317290996</v>
      </c>
      <c r="H604">
        <v>-1.22560881715936</v>
      </c>
      <c r="I604">
        <v>0.69454733283359904</v>
      </c>
      <c r="J604">
        <v>0.58283239127167796</v>
      </c>
    </row>
    <row r="605" spans="1:10" hidden="1" x14ac:dyDescent="0.2">
      <c r="A605" t="s">
        <v>208</v>
      </c>
      <c r="B605" t="s">
        <v>21</v>
      </c>
      <c r="C605">
        <v>0</v>
      </c>
      <c r="D605" t="s">
        <v>222</v>
      </c>
      <c r="E605">
        <v>-0.25112780498787901</v>
      </c>
      <c r="F605">
        <v>0.58589722740473005</v>
      </c>
      <c r="G605">
        <v>-0.42862091377401701</v>
      </c>
      <c r="H605">
        <v>-1.4202675192848999</v>
      </c>
      <c r="I605">
        <v>0.918011909309147</v>
      </c>
      <c r="J605">
        <v>0.66955386065703204</v>
      </c>
    </row>
    <row r="606" spans="1:10" hidden="1" x14ac:dyDescent="0.2">
      <c r="A606" t="s">
        <v>208</v>
      </c>
      <c r="B606" t="s">
        <v>21</v>
      </c>
      <c r="C606">
        <v>0</v>
      </c>
      <c r="D606" t="s">
        <v>223</v>
      </c>
      <c r="E606">
        <v>-0.24057877562121299</v>
      </c>
      <c r="F606">
        <v>0.54184032740083099</v>
      </c>
      <c r="G606">
        <v>-0.44400308255985999</v>
      </c>
      <c r="H606">
        <v>-1.32180431474535</v>
      </c>
      <c r="I606">
        <v>0.84064676350292</v>
      </c>
      <c r="J606">
        <v>0.65845009415245004</v>
      </c>
    </row>
    <row r="607" spans="1:10" hidden="1" x14ac:dyDescent="0.2">
      <c r="A607" t="s">
        <v>208</v>
      </c>
      <c r="B607" t="s">
        <v>21</v>
      </c>
      <c r="C607">
        <v>1</v>
      </c>
      <c r="D607" t="s">
        <v>218</v>
      </c>
      <c r="E607">
        <v>1.1532760597</v>
      </c>
      <c r="F607">
        <v>0.54493149922776296</v>
      </c>
      <c r="G607">
        <v>2.1163688671591498</v>
      </c>
      <c r="H607">
        <v>3.31533209935366E-2</v>
      </c>
      <c r="I607">
        <v>2.2733987984064599</v>
      </c>
      <c r="J607">
        <v>4.4044646979674897E-2</v>
      </c>
    </row>
    <row r="608" spans="1:10" hidden="1" x14ac:dyDescent="0.2">
      <c r="A608" t="s">
        <v>208</v>
      </c>
      <c r="B608" t="s">
        <v>21</v>
      </c>
      <c r="C608">
        <v>1</v>
      </c>
      <c r="D608" t="s">
        <v>220</v>
      </c>
      <c r="E608">
        <v>0.35211386760000002</v>
      </c>
      <c r="F608">
        <v>0.50006343921809104</v>
      </c>
      <c r="G608">
        <v>0.70413839522155797</v>
      </c>
      <c r="H608">
        <v>-0.67578125290178703</v>
      </c>
      <c r="I608">
        <v>1.3800089881017901</v>
      </c>
      <c r="J608">
        <v>0.48760586638829601</v>
      </c>
    </row>
    <row r="609" spans="1:10" hidden="1" x14ac:dyDescent="0.2">
      <c r="A609" t="s">
        <v>208</v>
      </c>
      <c r="B609" t="s">
        <v>21</v>
      </c>
      <c r="C609">
        <v>1</v>
      </c>
      <c r="D609" t="s">
        <v>221</v>
      </c>
      <c r="E609">
        <v>0.58560438999999997</v>
      </c>
      <c r="F609">
        <v>0.50006343921809104</v>
      </c>
      <c r="G609">
        <v>1.1710601977134401</v>
      </c>
      <c r="H609">
        <v>-0.44229073050178702</v>
      </c>
      <c r="I609">
        <v>1.61349951050179</v>
      </c>
      <c r="J609">
        <v>0.25219569933957903</v>
      </c>
    </row>
    <row r="610" spans="1:10" hidden="1" x14ac:dyDescent="0.2">
      <c r="A610" t="s">
        <v>208</v>
      </c>
      <c r="B610" t="s">
        <v>21</v>
      </c>
      <c r="C610">
        <v>1</v>
      </c>
      <c r="D610" t="s">
        <v>222</v>
      </c>
      <c r="E610">
        <v>-0.27253341380000001</v>
      </c>
      <c r="F610">
        <v>0.72896146461289602</v>
      </c>
      <c r="G610">
        <v>-0.37386532351847301</v>
      </c>
      <c r="H610">
        <v>-1.77093516394803</v>
      </c>
      <c r="I610">
        <v>1.2258683363480301</v>
      </c>
      <c r="J610">
        <v>0.71153601168976</v>
      </c>
    </row>
    <row r="611" spans="1:10" hidden="1" x14ac:dyDescent="0.2">
      <c r="A611" t="s">
        <v>208</v>
      </c>
      <c r="B611" t="s">
        <v>21</v>
      </c>
      <c r="C611">
        <v>1</v>
      </c>
      <c r="D611" t="s">
        <v>209</v>
      </c>
      <c r="E611">
        <v>1.3160043812</v>
      </c>
      <c r="F611">
        <v>1.0001268784361801</v>
      </c>
      <c r="G611">
        <v>1.31583742980464</v>
      </c>
      <c r="H611">
        <v>-0.73978585980357403</v>
      </c>
      <c r="I611">
        <v>3.37179462220357</v>
      </c>
      <c r="J611">
        <v>0.19971337047759299</v>
      </c>
    </row>
    <row r="612" spans="1:10" hidden="1" x14ac:dyDescent="0.2">
      <c r="A612" t="s">
        <v>208</v>
      </c>
      <c r="B612" t="s">
        <v>29</v>
      </c>
      <c r="C612">
        <v>0</v>
      </c>
      <c r="D612" t="s">
        <v>218</v>
      </c>
      <c r="E612">
        <v>0.47329176285081598</v>
      </c>
      <c r="F612">
        <v>0.41456833877910798</v>
      </c>
      <c r="G612">
        <v>1.14164956312063</v>
      </c>
      <c r="H612">
        <v>-0.353966477137376</v>
      </c>
      <c r="I612">
        <v>1.30055000283901</v>
      </c>
      <c r="J612">
        <v>0.25760407200659902</v>
      </c>
    </row>
    <row r="613" spans="1:10" hidden="1" x14ac:dyDescent="0.2">
      <c r="A613" t="s">
        <v>208</v>
      </c>
      <c r="B613" t="s">
        <v>29</v>
      </c>
      <c r="C613">
        <v>0</v>
      </c>
      <c r="D613" t="s">
        <v>220</v>
      </c>
      <c r="E613">
        <v>-0.30319915363636302</v>
      </c>
      <c r="F613">
        <v>0.47609353276863597</v>
      </c>
      <c r="G613">
        <v>-0.63684787288153899</v>
      </c>
      <c r="H613">
        <v>-1.25322900673085</v>
      </c>
      <c r="I613">
        <v>0.64683069945812599</v>
      </c>
      <c r="J613">
        <v>0.52636213700146395</v>
      </c>
    </row>
    <row r="614" spans="1:10" hidden="1" x14ac:dyDescent="0.2">
      <c r="A614" t="s">
        <v>208</v>
      </c>
      <c r="B614" t="s">
        <v>29</v>
      </c>
      <c r="C614">
        <v>0</v>
      </c>
      <c r="D614" t="s">
        <v>221</v>
      </c>
      <c r="E614">
        <v>-0.115584778803031</v>
      </c>
      <c r="F614">
        <v>0.49892564387612298</v>
      </c>
      <c r="G614">
        <v>-0.23166734406566</v>
      </c>
      <c r="H614">
        <v>-1.11117540025146</v>
      </c>
      <c r="I614">
        <v>0.88000584264540205</v>
      </c>
      <c r="J614">
        <v>0.81749212750092604</v>
      </c>
    </row>
    <row r="615" spans="1:10" hidden="1" x14ac:dyDescent="0.2">
      <c r="A615" t="s">
        <v>208</v>
      </c>
      <c r="B615" t="s">
        <v>29</v>
      </c>
      <c r="C615">
        <v>0</v>
      </c>
      <c r="D615" t="s">
        <v>222</v>
      </c>
      <c r="E615">
        <v>0.57002593289696901</v>
      </c>
      <c r="F615">
        <v>0.60756911331292396</v>
      </c>
      <c r="G615">
        <v>0.93820755599105199</v>
      </c>
      <c r="H615">
        <v>-0.64235935641534903</v>
      </c>
      <c r="I615">
        <v>1.78241122220929</v>
      </c>
      <c r="J615">
        <v>0.35145829381955501</v>
      </c>
    </row>
    <row r="616" spans="1:10" hidden="1" x14ac:dyDescent="0.2">
      <c r="A616" t="s">
        <v>208</v>
      </c>
      <c r="B616" t="s">
        <v>29</v>
      </c>
      <c r="C616">
        <v>0</v>
      </c>
      <c r="D616" t="s">
        <v>223</v>
      </c>
      <c r="E616">
        <v>-0.119425373469698</v>
      </c>
      <c r="F616">
        <v>0.56188258260641399</v>
      </c>
      <c r="G616">
        <v>-0.21254507109958501</v>
      </c>
      <c r="H616">
        <v>-1.2406446101723601</v>
      </c>
      <c r="I616">
        <v>1.0017938632329599</v>
      </c>
      <c r="J616">
        <v>0.83231767976642901</v>
      </c>
    </row>
    <row r="617" spans="1:10" hidden="1" x14ac:dyDescent="0.2">
      <c r="A617" t="s">
        <v>208</v>
      </c>
      <c r="B617" t="s">
        <v>29</v>
      </c>
      <c r="C617">
        <v>1</v>
      </c>
      <c r="D617" t="s">
        <v>218</v>
      </c>
      <c r="E617">
        <v>3.5286017633333097E-2</v>
      </c>
      <c r="F617">
        <v>0.33546188958987899</v>
      </c>
      <c r="G617">
        <v>0.105186367597441</v>
      </c>
      <c r="H617">
        <v>-0.65426577196142799</v>
      </c>
      <c r="I617">
        <v>0.72483780722809499</v>
      </c>
      <c r="J617">
        <v>0.91703522726091002</v>
      </c>
    </row>
    <row r="618" spans="1:10" hidden="1" x14ac:dyDescent="0.2">
      <c r="A618" t="s">
        <v>208</v>
      </c>
      <c r="B618" t="s">
        <v>29</v>
      </c>
      <c r="C618">
        <v>1</v>
      </c>
      <c r="D618" t="s">
        <v>220</v>
      </c>
      <c r="E618">
        <v>-0.34264182666666698</v>
      </c>
      <c r="F618">
        <v>0.30784094234346998</v>
      </c>
      <c r="G618">
        <v>-1.1130482646599</v>
      </c>
      <c r="H618">
        <v>-0.97541794607323296</v>
      </c>
      <c r="I618">
        <v>0.29013429273989899</v>
      </c>
      <c r="J618">
        <v>0.27587284675324802</v>
      </c>
    </row>
    <row r="619" spans="1:10" hidden="1" x14ac:dyDescent="0.2">
      <c r="A619" t="s">
        <v>208</v>
      </c>
      <c r="B619" t="s">
        <v>29</v>
      </c>
      <c r="C619">
        <v>1</v>
      </c>
      <c r="D619" t="s">
        <v>221</v>
      </c>
      <c r="E619">
        <v>-0.50023705666666696</v>
      </c>
      <c r="F619">
        <v>0.30784094234346998</v>
      </c>
      <c r="G619">
        <v>-1.6249854644368</v>
      </c>
      <c r="H619">
        <v>-1.13301317607323</v>
      </c>
      <c r="I619">
        <v>0.13253906273989899</v>
      </c>
      <c r="J619">
        <v>0.11622807732686</v>
      </c>
    </row>
    <row r="620" spans="1:10" hidden="1" x14ac:dyDescent="0.2">
      <c r="A620" t="s">
        <v>208</v>
      </c>
      <c r="B620" t="s">
        <v>29</v>
      </c>
      <c r="C620">
        <v>1</v>
      </c>
      <c r="D620" t="s">
        <v>222</v>
      </c>
      <c r="E620">
        <v>-0.91906145136666695</v>
      </c>
      <c r="F620">
        <v>0.44875143151715502</v>
      </c>
      <c r="G620">
        <v>-2.0480412692155001</v>
      </c>
      <c r="H620">
        <v>-1.8414832294833099</v>
      </c>
      <c r="I620">
        <v>3.36032674997633E-3</v>
      </c>
      <c r="J620">
        <v>5.07803390338991E-2</v>
      </c>
    </row>
    <row r="621" spans="1:10" hidden="1" x14ac:dyDescent="0.2">
      <c r="A621" t="s">
        <v>208</v>
      </c>
      <c r="B621" t="s">
        <v>29</v>
      </c>
      <c r="C621">
        <v>1</v>
      </c>
      <c r="D621" t="s">
        <v>209</v>
      </c>
      <c r="E621">
        <v>-0.38511692286666699</v>
      </c>
      <c r="F621">
        <v>0.61568188468693996</v>
      </c>
      <c r="G621">
        <v>-0.62551283779039502</v>
      </c>
      <c r="H621">
        <v>-1.6506691616797999</v>
      </c>
      <c r="I621">
        <v>0.88043531594646496</v>
      </c>
      <c r="J621">
        <v>0.53708689576671698</v>
      </c>
    </row>
    <row r="622" spans="1:10" hidden="1" x14ac:dyDescent="0.2">
      <c r="A622" t="s">
        <v>208</v>
      </c>
      <c r="B622" t="s">
        <v>18</v>
      </c>
      <c r="C622">
        <v>0</v>
      </c>
      <c r="D622" t="s">
        <v>218</v>
      </c>
      <c r="E622">
        <v>0.251863083710956</v>
      </c>
      <c r="F622">
        <v>0.36593190433555201</v>
      </c>
      <c r="G622">
        <v>0.68827855873425603</v>
      </c>
      <c r="H622">
        <v>-0.478342662409596</v>
      </c>
      <c r="I622">
        <v>0.98206882983150801</v>
      </c>
      <c r="J622">
        <v>0.49361879126793601</v>
      </c>
    </row>
    <row r="623" spans="1:10" hidden="1" x14ac:dyDescent="0.2">
      <c r="A623" t="s">
        <v>208</v>
      </c>
      <c r="B623" t="s">
        <v>18</v>
      </c>
      <c r="C623">
        <v>0</v>
      </c>
      <c r="D623" t="s">
        <v>220</v>
      </c>
      <c r="E623">
        <v>-7.5005186212121294E-2</v>
      </c>
      <c r="F623">
        <v>0.42023906987430298</v>
      </c>
      <c r="G623">
        <v>-0.17848218214112199</v>
      </c>
      <c r="H623">
        <v>-0.91357919391926901</v>
      </c>
      <c r="I623">
        <v>0.76356882149502603</v>
      </c>
      <c r="J623">
        <v>0.85887499717409399</v>
      </c>
    </row>
    <row r="624" spans="1:10" hidden="1" x14ac:dyDescent="0.2">
      <c r="A624" t="s">
        <v>208</v>
      </c>
      <c r="B624" t="s">
        <v>18</v>
      </c>
      <c r="C624">
        <v>0</v>
      </c>
      <c r="D624" t="s">
        <v>221</v>
      </c>
      <c r="E624">
        <v>-0.54040244821212202</v>
      </c>
      <c r="F624">
        <v>0.44039255752888101</v>
      </c>
      <c r="G624">
        <v>-1.2270925994853601</v>
      </c>
      <c r="H624">
        <v>-1.4191921143939299</v>
      </c>
      <c r="I624">
        <v>0.33838721796969101</v>
      </c>
      <c r="J624">
        <v>0.22401928996359999</v>
      </c>
    </row>
    <row r="625" spans="1:10" hidden="1" x14ac:dyDescent="0.2">
      <c r="A625" t="s">
        <v>208</v>
      </c>
      <c r="B625" t="s">
        <v>18</v>
      </c>
      <c r="C625">
        <v>0</v>
      </c>
      <c r="D625" t="s">
        <v>222</v>
      </c>
      <c r="E625">
        <v>0.26136806398787799</v>
      </c>
      <c r="F625">
        <v>0.53629016461993595</v>
      </c>
      <c r="G625">
        <v>0.48736315008332798</v>
      </c>
      <c r="H625">
        <v>-0.80878229774260002</v>
      </c>
      <c r="I625">
        <v>1.3315184257183601</v>
      </c>
      <c r="J625">
        <v>0.62756851087990295</v>
      </c>
    </row>
    <row r="626" spans="1:10" hidden="1" x14ac:dyDescent="0.2">
      <c r="A626" t="s">
        <v>208</v>
      </c>
      <c r="B626" t="s">
        <v>18</v>
      </c>
      <c r="C626">
        <v>0</v>
      </c>
      <c r="D626" t="s">
        <v>223</v>
      </c>
      <c r="E626">
        <v>0.31966329928787801</v>
      </c>
      <c r="F626">
        <v>0.49596349801256201</v>
      </c>
      <c r="G626">
        <v>0.64452989094730095</v>
      </c>
      <c r="H626">
        <v>-0.67001645211945604</v>
      </c>
      <c r="I626">
        <v>1.30934305069521</v>
      </c>
      <c r="J626">
        <v>0.521400281048227</v>
      </c>
    </row>
    <row r="627" spans="1:10" hidden="1" x14ac:dyDescent="0.2">
      <c r="A627" t="s">
        <v>208</v>
      </c>
      <c r="B627" t="s">
        <v>18</v>
      </c>
      <c r="C627">
        <v>1</v>
      </c>
      <c r="D627" t="s">
        <v>218</v>
      </c>
      <c r="E627">
        <v>1.2117244883333499E-2</v>
      </c>
      <c r="F627">
        <v>0.42979713533694403</v>
      </c>
      <c r="G627">
        <v>2.8192940080519702E-2</v>
      </c>
      <c r="H627">
        <v>-0.87134341944613003</v>
      </c>
      <c r="I627">
        <v>0.89557790921279701</v>
      </c>
      <c r="J627">
        <v>0.97772355896709495</v>
      </c>
    </row>
    <row r="628" spans="1:10" hidden="1" x14ac:dyDescent="0.2">
      <c r="A628" t="s">
        <v>208</v>
      </c>
      <c r="B628" t="s">
        <v>18</v>
      </c>
      <c r="C628">
        <v>1</v>
      </c>
      <c r="D628" t="s">
        <v>220</v>
      </c>
      <c r="E628">
        <v>-6.8106181466666499E-2</v>
      </c>
      <c r="F628">
        <v>0.39440890087516101</v>
      </c>
      <c r="G628">
        <v>-0.17267911884225801</v>
      </c>
      <c r="H628">
        <v>-0.87882528807833904</v>
      </c>
      <c r="I628">
        <v>0.74261292514500599</v>
      </c>
      <c r="J628">
        <v>0.86424086041042902</v>
      </c>
    </row>
    <row r="629" spans="1:10" hidden="1" x14ac:dyDescent="0.2">
      <c r="A629" t="s">
        <v>208</v>
      </c>
      <c r="B629" t="s">
        <v>18</v>
      </c>
      <c r="C629">
        <v>1</v>
      </c>
      <c r="D629" t="s">
        <v>221</v>
      </c>
      <c r="E629">
        <v>-0.13813925586666601</v>
      </c>
      <c r="F629">
        <v>0.39440890087516101</v>
      </c>
      <c r="G629">
        <v>-0.350243758597097</v>
      </c>
      <c r="H629">
        <v>-0.94885836247833899</v>
      </c>
      <c r="I629">
        <v>0.67257985074500604</v>
      </c>
      <c r="J629">
        <v>0.72897735748912595</v>
      </c>
    </row>
    <row r="630" spans="1:10" hidden="1" x14ac:dyDescent="0.2">
      <c r="A630" t="s">
        <v>208</v>
      </c>
      <c r="B630" t="s">
        <v>18</v>
      </c>
      <c r="C630">
        <v>1</v>
      </c>
      <c r="D630" t="s">
        <v>222</v>
      </c>
      <c r="E630">
        <v>-0.50885979036666595</v>
      </c>
      <c r="F630">
        <v>0.57494483197546797</v>
      </c>
      <c r="G630">
        <v>-0.88505846485872497</v>
      </c>
      <c r="H630">
        <v>-1.6906758180878201</v>
      </c>
      <c r="I630">
        <v>0.67295623735448895</v>
      </c>
      <c r="J630">
        <v>0.38423737072280401</v>
      </c>
    </row>
    <row r="631" spans="1:10" hidden="1" x14ac:dyDescent="0.2">
      <c r="A631" t="s">
        <v>208</v>
      </c>
      <c r="B631" t="s">
        <v>18</v>
      </c>
      <c r="C631">
        <v>1</v>
      </c>
      <c r="D631" t="s">
        <v>209</v>
      </c>
      <c r="E631">
        <v>-0.66316421086666599</v>
      </c>
      <c r="F631">
        <v>0.78881780175032201</v>
      </c>
      <c r="G631">
        <v>-0.84070644627334601</v>
      </c>
      <c r="H631">
        <v>-2.2846024240900098</v>
      </c>
      <c r="I631">
        <v>0.95827400235667803</v>
      </c>
      <c r="J631">
        <v>0.40817779412432798</v>
      </c>
    </row>
    <row r="632" spans="1:10" hidden="1" x14ac:dyDescent="0.2">
      <c r="A632" t="s">
        <v>208</v>
      </c>
      <c r="B632" t="s">
        <v>14</v>
      </c>
      <c r="C632">
        <v>0</v>
      </c>
      <c r="D632" t="s">
        <v>218</v>
      </c>
      <c r="E632">
        <v>-0.19736281454545501</v>
      </c>
      <c r="F632">
        <v>0.36243123101524299</v>
      </c>
      <c r="G632">
        <v>-0.54455244928148705</v>
      </c>
      <c r="H632">
        <v>-0.92058307581624399</v>
      </c>
      <c r="I632">
        <v>0.52585744672533397</v>
      </c>
      <c r="J632">
        <v>0.58784276318323103</v>
      </c>
    </row>
    <row r="633" spans="1:10" hidden="1" x14ac:dyDescent="0.2">
      <c r="A633" t="s">
        <v>208</v>
      </c>
      <c r="B633" t="s">
        <v>14</v>
      </c>
      <c r="C633">
        <v>0</v>
      </c>
      <c r="D633" t="s">
        <v>220</v>
      </c>
      <c r="E633">
        <v>-0.29773991298989899</v>
      </c>
      <c r="F633">
        <v>0.41621886916856898</v>
      </c>
      <c r="G633">
        <v>-0.71534458200960105</v>
      </c>
      <c r="H633">
        <v>-1.1282917350906401</v>
      </c>
      <c r="I633">
        <v>0.53281190911084297</v>
      </c>
      <c r="J633">
        <v>0.47684519907575701</v>
      </c>
    </row>
    <row r="634" spans="1:10" hidden="1" x14ac:dyDescent="0.2">
      <c r="A634" t="s">
        <v>208</v>
      </c>
      <c r="B634" t="s">
        <v>14</v>
      </c>
      <c r="C634">
        <v>0</v>
      </c>
      <c r="D634" t="s">
        <v>221</v>
      </c>
      <c r="E634">
        <v>-0.116604356170455</v>
      </c>
      <c r="F634">
        <v>0.43617955926789698</v>
      </c>
      <c r="G634">
        <v>-0.26733108806421102</v>
      </c>
      <c r="H634">
        <v>-0.98698711521430704</v>
      </c>
      <c r="I634">
        <v>0.75377840287339604</v>
      </c>
      <c r="J634">
        <v>0.79002339192759996</v>
      </c>
    </row>
    <row r="635" spans="1:10" hidden="1" x14ac:dyDescent="0.2">
      <c r="A635" t="s">
        <v>208</v>
      </c>
      <c r="B635" t="s">
        <v>14</v>
      </c>
      <c r="C635">
        <v>0</v>
      </c>
      <c r="D635" t="s">
        <v>222</v>
      </c>
      <c r="E635">
        <v>0.442958891054545</v>
      </c>
      <c r="F635">
        <v>0.53115976563316702</v>
      </c>
      <c r="G635">
        <v>0.83394661967010397</v>
      </c>
      <c r="H635">
        <v>-0.61695391889199802</v>
      </c>
      <c r="I635">
        <v>1.5028717010010899</v>
      </c>
      <c r="J635">
        <v>0.40723105428216999</v>
      </c>
    </row>
    <row r="636" spans="1:10" hidden="1" x14ac:dyDescent="0.2">
      <c r="A636" t="s">
        <v>208</v>
      </c>
      <c r="B636" t="s">
        <v>14</v>
      </c>
      <c r="C636">
        <v>0</v>
      </c>
      <c r="D636" t="s">
        <v>223</v>
      </c>
      <c r="E636">
        <v>1.5057070454544999E-2</v>
      </c>
      <c r="F636">
        <v>0.49121888251232998</v>
      </c>
      <c r="G636">
        <v>3.0652466732418501E-2</v>
      </c>
      <c r="H636">
        <v>-0.96515494813049496</v>
      </c>
      <c r="I636">
        <v>0.995269089039585</v>
      </c>
      <c r="J636">
        <v>0.97563648902091804</v>
      </c>
    </row>
    <row r="637" spans="1:10" hidden="1" x14ac:dyDescent="0.2">
      <c r="A637" t="s">
        <v>208</v>
      </c>
      <c r="B637" t="s">
        <v>14</v>
      </c>
      <c r="C637">
        <v>1</v>
      </c>
      <c r="D637" t="s">
        <v>218</v>
      </c>
      <c r="E637">
        <v>0.22226536081666601</v>
      </c>
      <c r="F637">
        <v>0.45623272222783301</v>
      </c>
      <c r="G637">
        <v>0.48717540410367999</v>
      </c>
      <c r="H637">
        <v>-0.71553443059482102</v>
      </c>
      <c r="I637">
        <v>1.16006515222815</v>
      </c>
      <c r="J637">
        <v>0.63021628758972903</v>
      </c>
    </row>
    <row r="638" spans="1:10" hidden="1" x14ac:dyDescent="0.2">
      <c r="A638" t="s">
        <v>208</v>
      </c>
      <c r="B638" t="s">
        <v>14</v>
      </c>
      <c r="C638">
        <v>1</v>
      </c>
      <c r="D638" t="s">
        <v>220</v>
      </c>
      <c r="E638">
        <v>1.2305869866666701E-2</v>
      </c>
      <c r="F638">
        <v>0.41866785914264998</v>
      </c>
      <c r="G638">
        <v>2.9392917554900599E-2</v>
      </c>
      <c r="H638">
        <v>-0.848278239614638</v>
      </c>
      <c r="I638">
        <v>0.87288997934797197</v>
      </c>
      <c r="J638">
        <v>0.976775683453592</v>
      </c>
    </row>
    <row r="639" spans="1:10" hidden="1" x14ac:dyDescent="0.2">
      <c r="A639" t="s">
        <v>208</v>
      </c>
      <c r="B639" t="s">
        <v>14</v>
      </c>
      <c r="C639">
        <v>1</v>
      </c>
      <c r="D639" t="s">
        <v>221</v>
      </c>
      <c r="E639">
        <v>-0.26060854713333298</v>
      </c>
      <c r="F639">
        <v>0.41866785914264998</v>
      </c>
      <c r="G639">
        <v>-0.62247087146123103</v>
      </c>
      <c r="H639">
        <v>-1.12119265661464</v>
      </c>
      <c r="I639">
        <v>0.599975562347972</v>
      </c>
      <c r="J639">
        <v>0.53905373474771301</v>
      </c>
    </row>
    <row r="640" spans="1:10" hidden="1" x14ac:dyDescent="0.2">
      <c r="A640" t="s">
        <v>208</v>
      </c>
      <c r="B640" t="s">
        <v>14</v>
      </c>
      <c r="C640">
        <v>1</v>
      </c>
      <c r="D640" t="s">
        <v>222</v>
      </c>
      <c r="E640">
        <v>-0.29520389593333402</v>
      </c>
      <c r="F640">
        <v>0.61030803664466504</v>
      </c>
      <c r="G640">
        <v>-0.48369655683431201</v>
      </c>
      <c r="H640">
        <v>-1.54971003189678</v>
      </c>
      <c r="I640">
        <v>0.959302240030109</v>
      </c>
      <c r="J640">
        <v>0.63265017966076598</v>
      </c>
    </row>
    <row r="641" spans="1:10" hidden="1" x14ac:dyDescent="0.2">
      <c r="A641" t="s">
        <v>208</v>
      </c>
      <c r="B641" t="s">
        <v>14</v>
      </c>
      <c r="C641">
        <v>1</v>
      </c>
      <c r="D641" t="s">
        <v>209</v>
      </c>
      <c r="E641">
        <v>-0.28469815393333398</v>
      </c>
      <c r="F641">
        <v>0.83733571828529996</v>
      </c>
      <c r="G641">
        <v>-0.34000478866032302</v>
      </c>
      <c r="H641">
        <v>-2.0058663728959401</v>
      </c>
      <c r="I641">
        <v>1.4364700650292801</v>
      </c>
      <c r="J641">
        <v>0.73658450290780297</v>
      </c>
    </row>
    <row r="642" spans="1:10" hidden="1" x14ac:dyDescent="0.2">
      <c r="A642" t="s">
        <v>206</v>
      </c>
      <c r="B642" t="s">
        <v>252</v>
      </c>
      <c r="C642">
        <v>0</v>
      </c>
      <c r="D642" t="s">
        <v>215</v>
      </c>
      <c r="E642">
        <v>-0.66866125049999903</v>
      </c>
      <c r="F642">
        <v>1.2166585620201</v>
      </c>
      <c r="G642">
        <v>-0.54958825045358395</v>
      </c>
      <c r="H642">
        <v>-3.0971219042885201</v>
      </c>
      <c r="I642">
        <v>1.75979940328852</v>
      </c>
      <c r="J642">
        <v>0.584429149330149</v>
      </c>
    </row>
    <row r="643" spans="1:10" hidden="1" x14ac:dyDescent="0.2">
      <c r="A643" t="s">
        <v>206</v>
      </c>
      <c r="B643" t="s">
        <v>252</v>
      </c>
      <c r="C643">
        <v>0</v>
      </c>
      <c r="D643" t="s">
        <v>211</v>
      </c>
      <c r="E643">
        <v>-0.34328115007142901</v>
      </c>
      <c r="F643">
        <v>1.1947349904371201</v>
      </c>
      <c r="G643">
        <v>-0.287328280178546</v>
      </c>
      <c r="H643">
        <v>-2.7279821718302601</v>
      </c>
      <c r="I643">
        <v>2.0414198716873999</v>
      </c>
      <c r="J643">
        <v>0.77474777868802702</v>
      </c>
    </row>
    <row r="644" spans="1:10" hidden="1" x14ac:dyDescent="0.2">
      <c r="A644" t="s">
        <v>206</v>
      </c>
      <c r="B644" t="s">
        <v>252</v>
      </c>
      <c r="C644">
        <v>0</v>
      </c>
      <c r="D644" t="s">
        <v>214</v>
      </c>
      <c r="E644">
        <v>-0.906873114875</v>
      </c>
      <c r="F644">
        <v>1.1780245871811299</v>
      </c>
      <c r="G644">
        <v>-0.76982528611311896</v>
      </c>
      <c r="H644">
        <v>-3.2582200321357302</v>
      </c>
      <c r="I644">
        <v>1.44447380238573</v>
      </c>
      <c r="J644">
        <v>0.44410931441537599</v>
      </c>
    </row>
    <row r="645" spans="1:10" hidden="1" x14ac:dyDescent="0.2">
      <c r="A645" t="s">
        <v>206</v>
      </c>
      <c r="B645" t="s">
        <v>252</v>
      </c>
      <c r="C645">
        <v>0</v>
      </c>
      <c r="D645" t="s">
        <v>210</v>
      </c>
      <c r="E645">
        <v>-0.16173230390000101</v>
      </c>
      <c r="F645">
        <v>1.10508501783477</v>
      </c>
      <c r="G645">
        <v>-0.146352815656562</v>
      </c>
      <c r="H645">
        <v>-2.3674912314064001</v>
      </c>
      <c r="I645">
        <v>2.0440266236063902</v>
      </c>
      <c r="J645">
        <v>0.88408233568378403</v>
      </c>
    </row>
    <row r="646" spans="1:10" hidden="1" x14ac:dyDescent="0.2">
      <c r="A646" t="s">
        <v>206</v>
      </c>
      <c r="B646" t="s">
        <v>252</v>
      </c>
      <c r="C646">
        <v>0</v>
      </c>
      <c r="D646" t="s">
        <v>207</v>
      </c>
      <c r="E646">
        <v>-0.78019373246296297</v>
      </c>
      <c r="F646">
        <v>1.09198447841492</v>
      </c>
      <c r="G646">
        <v>-0.71447328042195402</v>
      </c>
      <c r="H646">
        <v>-2.9598038738450998</v>
      </c>
      <c r="I646">
        <v>1.3994164089191701</v>
      </c>
      <c r="J646">
        <v>0.47741654970148001</v>
      </c>
    </row>
    <row r="647" spans="1:10" hidden="1" x14ac:dyDescent="0.2">
      <c r="A647" t="s">
        <v>206</v>
      </c>
      <c r="B647" t="s">
        <v>252</v>
      </c>
      <c r="C647">
        <v>0</v>
      </c>
      <c r="D647" t="s">
        <v>219</v>
      </c>
      <c r="E647">
        <v>-1.0821636809249999</v>
      </c>
      <c r="F647">
        <v>1.29046127938963</v>
      </c>
      <c r="G647">
        <v>-0.83858671175073796</v>
      </c>
      <c r="H647">
        <v>-3.6579351751328799</v>
      </c>
      <c r="I647">
        <v>1.4936078132828701</v>
      </c>
      <c r="J647">
        <v>0.40468318982171497</v>
      </c>
    </row>
    <row r="648" spans="1:10" hidden="1" x14ac:dyDescent="0.2">
      <c r="A648" t="s">
        <v>206</v>
      </c>
      <c r="B648" t="s">
        <v>252</v>
      </c>
      <c r="C648">
        <v>1</v>
      </c>
      <c r="D648" t="s">
        <v>215</v>
      </c>
      <c r="E648">
        <v>1.21373528666667</v>
      </c>
      <c r="F648">
        <v>0.75149901205665304</v>
      </c>
      <c r="G648">
        <v>1.61508567169636</v>
      </c>
      <c r="H648">
        <v>-0.33099305572681897</v>
      </c>
      <c r="I648">
        <v>2.7584636290601501</v>
      </c>
      <c r="J648">
        <v>0.118363920484305</v>
      </c>
    </row>
    <row r="649" spans="1:10" hidden="1" x14ac:dyDescent="0.2">
      <c r="A649" t="s">
        <v>206</v>
      </c>
      <c r="B649" t="s">
        <v>252</v>
      </c>
      <c r="C649">
        <v>1</v>
      </c>
      <c r="D649" t="s">
        <v>211</v>
      </c>
      <c r="E649">
        <v>-0.92172656383333296</v>
      </c>
      <c r="F649">
        <v>0.59411213436634103</v>
      </c>
      <c r="G649">
        <v>-1.5514353444681199</v>
      </c>
      <c r="H649">
        <v>-2.1429415458782999</v>
      </c>
      <c r="I649">
        <v>0.29948841821163003</v>
      </c>
      <c r="J649">
        <v>0.13288593988070899</v>
      </c>
    </row>
    <row r="650" spans="1:10" hidden="1" x14ac:dyDescent="0.2">
      <c r="A650" t="s">
        <v>206</v>
      </c>
      <c r="B650" t="s">
        <v>252</v>
      </c>
      <c r="C650">
        <v>1</v>
      </c>
      <c r="D650" t="s">
        <v>214</v>
      </c>
      <c r="E650">
        <v>-0.93274043633333303</v>
      </c>
      <c r="F650">
        <v>0.47528970749307298</v>
      </c>
      <c r="G650">
        <v>-1.9624671471492501</v>
      </c>
      <c r="H650">
        <v>-1.9097124219693</v>
      </c>
      <c r="I650">
        <v>4.4231549302637597E-2</v>
      </c>
      <c r="J650">
        <v>6.0493109727212897E-2</v>
      </c>
    </row>
    <row r="651" spans="1:10" hidden="1" x14ac:dyDescent="0.2">
      <c r="A651" t="s">
        <v>206</v>
      </c>
      <c r="B651" t="s">
        <v>252</v>
      </c>
      <c r="C651">
        <v>1</v>
      </c>
      <c r="D651" t="s">
        <v>210</v>
      </c>
      <c r="E651">
        <v>-1.1145935983333299</v>
      </c>
      <c r="F651">
        <v>0.43387815690664699</v>
      </c>
      <c r="G651">
        <v>-2.5689092216116101</v>
      </c>
      <c r="H651">
        <v>-2.0064429226390601</v>
      </c>
      <c r="I651">
        <v>-0.22274427402760899</v>
      </c>
      <c r="J651">
        <v>1.62910357103868E-2</v>
      </c>
    </row>
    <row r="652" spans="1:10" hidden="1" x14ac:dyDescent="0.2">
      <c r="A652" t="s">
        <v>206</v>
      </c>
      <c r="B652" t="s">
        <v>252</v>
      </c>
      <c r="C652">
        <v>1</v>
      </c>
      <c r="D652" t="s">
        <v>207</v>
      </c>
      <c r="E652">
        <v>-1.28330536055556</v>
      </c>
      <c r="F652">
        <v>0.43387815690664699</v>
      </c>
      <c r="G652">
        <v>-2.9577551672684699</v>
      </c>
      <c r="H652">
        <v>-2.1751546848612802</v>
      </c>
      <c r="I652">
        <v>-0.391456036249831</v>
      </c>
      <c r="J652">
        <v>6.519488688596E-3</v>
      </c>
    </row>
    <row r="653" spans="1:10" hidden="1" x14ac:dyDescent="0.2">
      <c r="A653" t="s">
        <v>206</v>
      </c>
      <c r="B653" t="s">
        <v>252</v>
      </c>
      <c r="C653">
        <v>1</v>
      </c>
      <c r="D653" t="s">
        <v>219</v>
      </c>
      <c r="E653">
        <v>-0.97199735058333303</v>
      </c>
      <c r="F653">
        <v>0.497069874103159</v>
      </c>
      <c r="G653">
        <v>-1.9554541548852999</v>
      </c>
      <c r="H653">
        <v>-1.99373910986488</v>
      </c>
      <c r="I653">
        <v>4.9744408698216801E-2</v>
      </c>
      <c r="J653">
        <v>6.13571079157973E-2</v>
      </c>
    </row>
    <row r="654" spans="1:10" hidden="1" x14ac:dyDescent="0.2">
      <c r="A654" t="s">
        <v>206</v>
      </c>
      <c r="B654" t="s">
        <v>253</v>
      </c>
      <c r="C654">
        <v>0</v>
      </c>
      <c r="D654" t="s">
        <v>215</v>
      </c>
      <c r="E654">
        <v>0.75078458933333203</v>
      </c>
      <c r="F654">
        <v>1.02355032040479</v>
      </c>
      <c r="G654">
        <v>0.73351018935387202</v>
      </c>
      <c r="H654">
        <v>-1.2922304009598899</v>
      </c>
      <c r="I654">
        <v>2.79379957962656</v>
      </c>
      <c r="J654">
        <v>0.46580626211315401</v>
      </c>
    </row>
    <row r="655" spans="1:10" hidden="1" x14ac:dyDescent="0.2">
      <c r="A655" t="s">
        <v>206</v>
      </c>
      <c r="B655" t="s">
        <v>253</v>
      </c>
      <c r="C655">
        <v>0</v>
      </c>
      <c r="D655" t="s">
        <v>211</v>
      </c>
      <c r="E655">
        <v>1.1123329372142901</v>
      </c>
      <c r="F655">
        <v>1.0051064616109799</v>
      </c>
      <c r="G655">
        <v>1.1066817095489001</v>
      </c>
      <c r="H655">
        <v>-0.89386795684604103</v>
      </c>
      <c r="I655">
        <v>3.1185338312746098</v>
      </c>
      <c r="J655">
        <v>0.27238923007181698</v>
      </c>
    </row>
    <row r="656" spans="1:10" hidden="1" x14ac:dyDescent="0.2">
      <c r="A656" t="s">
        <v>206</v>
      </c>
      <c r="B656" t="s">
        <v>253</v>
      </c>
      <c r="C656">
        <v>0</v>
      </c>
      <c r="D656" t="s">
        <v>214</v>
      </c>
      <c r="E656">
        <v>0.38543974599999897</v>
      </c>
      <c r="F656">
        <v>0.99104833623325295</v>
      </c>
      <c r="G656">
        <v>0.388921238155716</v>
      </c>
      <c r="H656">
        <v>-1.5927010123644401</v>
      </c>
      <c r="I656">
        <v>2.3635805043644398</v>
      </c>
      <c r="J656">
        <v>0.69856769724376699</v>
      </c>
    </row>
    <row r="657" spans="1:10" hidden="1" x14ac:dyDescent="0.2">
      <c r="A657" t="s">
        <v>206</v>
      </c>
      <c r="B657" t="s">
        <v>253</v>
      </c>
      <c r="C657">
        <v>0</v>
      </c>
      <c r="D657" t="s">
        <v>210</v>
      </c>
      <c r="E657">
        <v>0.82168289605</v>
      </c>
      <c r="F657">
        <v>0.92968574700304796</v>
      </c>
      <c r="G657">
        <v>0.883828647151785</v>
      </c>
      <c r="H657">
        <v>-1.0339776215863301</v>
      </c>
      <c r="I657">
        <v>2.6773434136863301</v>
      </c>
      <c r="J657">
        <v>0.37994926993689299</v>
      </c>
    </row>
    <row r="658" spans="1:10" hidden="1" x14ac:dyDescent="0.2">
      <c r="A658" t="s">
        <v>206</v>
      </c>
      <c r="B658" t="s">
        <v>253</v>
      </c>
      <c r="C658">
        <v>0</v>
      </c>
      <c r="D658" t="s">
        <v>207</v>
      </c>
      <c r="E658">
        <v>0.41788733520370303</v>
      </c>
      <c r="F658">
        <v>0.91866452729585202</v>
      </c>
      <c r="G658">
        <v>0.45488567674837899</v>
      </c>
      <c r="H658">
        <v>-1.4157747358255199</v>
      </c>
      <c r="I658">
        <v>2.25154940623292</v>
      </c>
      <c r="J658">
        <v>0.65066202602050605</v>
      </c>
    </row>
    <row r="659" spans="1:10" hidden="1" x14ac:dyDescent="0.2">
      <c r="A659" t="s">
        <v>206</v>
      </c>
      <c r="B659" t="s">
        <v>253</v>
      </c>
      <c r="C659">
        <v>0</v>
      </c>
      <c r="D659" t="s">
        <v>219</v>
      </c>
      <c r="E659">
        <v>1.3176348877499999</v>
      </c>
      <c r="F659">
        <v>1.08563905866584</v>
      </c>
      <c r="G659">
        <v>1.21369517541979</v>
      </c>
      <c r="H659">
        <v>-0.84930974280316396</v>
      </c>
      <c r="I659">
        <v>3.4845795183031698</v>
      </c>
      <c r="J659">
        <v>0.229125319282483</v>
      </c>
    </row>
    <row r="660" spans="1:10" hidden="1" x14ac:dyDescent="0.2">
      <c r="A660" t="s">
        <v>206</v>
      </c>
      <c r="B660" t="s">
        <v>253</v>
      </c>
      <c r="C660">
        <v>1</v>
      </c>
      <c r="D660" t="s">
        <v>215</v>
      </c>
      <c r="E660">
        <v>0.808170683666668</v>
      </c>
      <c r="F660">
        <v>1.20537097985869</v>
      </c>
      <c r="G660">
        <v>0.67047464819620195</v>
      </c>
      <c r="H660">
        <v>-1.66950484991868</v>
      </c>
      <c r="I660">
        <v>3.28584621725201</v>
      </c>
      <c r="J660">
        <v>0.50846758712742601</v>
      </c>
    </row>
    <row r="661" spans="1:10" hidden="1" x14ac:dyDescent="0.2">
      <c r="A661" t="s">
        <v>206</v>
      </c>
      <c r="B661" t="s">
        <v>253</v>
      </c>
      <c r="C661">
        <v>1</v>
      </c>
      <c r="D661" t="s">
        <v>211</v>
      </c>
      <c r="E661">
        <v>-0.570770705833333</v>
      </c>
      <c r="F661">
        <v>0.95292943045560297</v>
      </c>
      <c r="G661">
        <v>-0.59896429640172</v>
      </c>
      <c r="H661">
        <v>-2.5295452030840102</v>
      </c>
      <c r="I661">
        <v>1.38800379141735</v>
      </c>
      <c r="J661">
        <v>0.55438014052937001</v>
      </c>
    </row>
    <row r="662" spans="1:10" hidden="1" x14ac:dyDescent="0.2">
      <c r="A662" t="s">
        <v>206</v>
      </c>
      <c r="B662" t="s">
        <v>253</v>
      </c>
      <c r="C662">
        <v>1</v>
      </c>
      <c r="D662" t="s">
        <v>214</v>
      </c>
      <c r="E662">
        <v>-0.111282897133333</v>
      </c>
      <c r="F662">
        <v>0.76234354436448304</v>
      </c>
      <c r="G662">
        <v>-0.14597473534861799</v>
      </c>
      <c r="H662">
        <v>-1.6783024949338801</v>
      </c>
      <c r="I662">
        <v>1.4557367006672099</v>
      </c>
      <c r="J662">
        <v>0.88506721274773903</v>
      </c>
    </row>
    <row r="663" spans="1:10" hidden="1" x14ac:dyDescent="0.2">
      <c r="A663" t="s">
        <v>206</v>
      </c>
      <c r="B663" t="s">
        <v>253</v>
      </c>
      <c r="C663">
        <v>1</v>
      </c>
      <c r="D663" t="s">
        <v>210</v>
      </c>
      <c r="E663">
        <v>-0.55949696633333301</v>
      </c>
      <c r="F663">
        <v>0.69592125969477903</v>
      </c>
      <c r="G663">
        <v>-0.803965906399698</v>
      </c>
      <c r="H663">
        <v>-1.9899836026133799</v>
      </c>
      <c r="I663">
        <v>0.870989669946717</v>
      </c>
      <c r="J663">
        <v>0.42870655582424899</v>
      </c>
    </row>
    <row r="664" spans="1:10" hidden="1" x14ac:dyDescent="0.2">
      <c r="A664" t="s">
        <v>206</v>
      </c>
      <c r="B664" t="s">
        <v>253</v>
      </c>
      <c r="C664">
        <v>1</v>
      </c>
      <c r="D664" t="s">
        <v>207</v>
      </c>
      <c r="E664">
        <v>-0.433774585777777</v>
      </c>
      <c r="F664">
        <v>0.69592125969477903</v>
      </c>
      <c r="G664">
        <v>-0.62330986406138</v>
      </c>
      <c r="H664">
        <v>-1.8642612220578301</v>
      </c>
      <c r="I664">
        <v>0.99671205050227196</v>
      </c>
      <c r="J664">
        <v>0.53851088733834596</v>
      </c>
    </row>
    <row r="665" spans="1:10" hidden="1" x14ac:dyDescent="0.2">
      <c r="A665" t="s">
        <v>206</v>
      </c>
      <c r="B665" t="s">
        <v>253</v>
      </c>
      <c r="C665">
        <v>1</v>
      </c>
      <c r="D665" t="s">
        <v>219</v>
      </c>
      <c r="E665">
        <v>-0.64390706583333301</v>
      </c>
      <c r="F665">
        <v>0.79727796257008698</v>
      </c>
      <c r="G665">
        <v>-0.80763183740542499</v>
      </c>
      <c r="H665">
        <v>-2.2827353886773598</v>
      </c>
      <c r="I665">
        <v>0.99492125701069101</v>
      </c>
      <c r="J665">
        <v>0.42663007170858402</v>
      </c>
    </row>
    <row r="666" spans="1:10" hidden="1" x14ac:dyDescent="0.2">
      <c r="A666" t="s">
        <v>206</v>
      </c>
      <c r="B666" t="s">
        <v>254</v>
      </c>
      <c r="C666">
        <v>0</v>
      </c>
      <c r="D666" t="s">
        <v>215</v>
      </c>
      <c r="E666">
        <v>-0.245318705666668</v>
      </c>
      <c r="F666">
        <v>0.92751880856768298</v>
      </c>
      <c r="G666">
        <v>-0.26448919784764302</v>
      </c>
      <c r="H666">
        <v>-2.0966539960833499</v>
      </c>
      <c r="I666">
        <v>1.6060165847500201</v>
      </c>
      <c r="J666">
        <v>0.79221491826218005</v>
      </c>
    </row>
    <row r="667" spans="1:10" hidden="1" x14ac:dyDescent="0.2">
      <c r="A667" t="s">
        <v>206</v>
      </c>
      <c r="B667" t="s">
        <v>254</v>
      </c>
      <c r="C667">
        <v>0</v>
      </c>
      <c r="D667" t="s">
        <v>211</v>
      </c>
      <c r="E667">
        <v>0.50206180028571301</v>
      </c>
      <c r="F667">
        <v>0.91080538901928698</v>
      </c>
      <c r="G667">
        <v>0.55122840327757605</v>
      </c>
      <c r="H667">
        <v>-1.3159133650880399</v>
      </c>
      <c r="I667">
        <v>2.3200369656594702</v>
      </c>
      <c r="J667">
        <v>0.58331077310731405</v>
      </c>
    </row>
    <row r="668" spans="1:10" hidden="1" x14ac:dyDescent="0.2">
      <c r="A668" t="s">
        <v>206</v>
      </c>
      <c r="B668" t="s">
        <v>254</v>
      </c>
      <c r="C668">
        <v>0</v>
      </c>
      <c r="D668" t="s">
        <v>214</v>
      </c>
      <c r="E668">
        <v>0.26762515599999798</v>
      </c>
      <c r="F668">
        <v>0.89806622471919595</v>
      </c>
      <c r="G668">
        <v>0.29800158232615598</v>
      </c>
      <c r="H668">
        <v>-1.5249225310074801</v>
      </c>
      <c r="I668">
        <v>2.0601728430074702</v>
      </c>
      <c r="J668">
        <v>0.76662411912998596</v>
      </c>
    </row>
    <row r="669" spans="1:10" hidden="1" x14ac:dyDescent="0.2">
      <c r="A669" t="s">
        <v>206</v>
      </c>
      <c r="B669" t="s">
        <v>254</v>
      </c>
      <c r="C669">
        <v>0</v>
      </c>
      <c r="D669" t="s">
        <v>210</v>
      </c>
      <c r="E669">
        <v>0.57098632989999798</v>
      </c>
      <c r="F669">
        <v>0.84246079475761004</v>
      </c>
      <c r="G669">
        <v>0.67776012065259394</v>
      </c>
      <c r="H669">
        <v>-1.11057245437498</v>
      </c>
      <c r="I669">
        <v>2.2525451141749802</v>
      </c>
      <c r="J669">
        <v>0.500257707379415</v>
      </c>
    </row>
    <row r="670" spans="1:10" hidden="1" x14ac:dyDescent="0.2">
      <c r="A670" t="s">
        <v>206</v>
      </c>
      <c r="B670" t="s">
        <v>254</v>
      </c>
      <c r="C670">
        <v>0</v>
      </c>
      <c r="D670" t="s">
        <v>207</v>
      </c>
      <c r="E670">
        <v>0.30346819266666403</v>
      </c>
      <c r="F670">
        <v>0.83247360764233602</v>
      </c>
      <c r="G670">
        <v>0.36453791433235</v>
      </c>
      <c r="H670">
        <v>-1.3581560826930199</v>
      </c>
      <c r="I670">
        <v>1.96509246802634</v>
      </c>
      <c r="J670">
        <v>0.71660442226701304</v>
      </c>
    </row>
    <row r="671" spans="1:10" hidden="1" x14ac:dyDescent="0.2">
      <c r="A671" t="s">
        <v>206</v>
      </c>
      <c r="B671" t="s">
        <v>254</v>
      </c>
      <c r="C671">
        <v>0</v>
      </c>
      <c r="D671" t="s">
        <v>219</v>
      </c>
      <c r="E671">
        <v>0.92234249724999895</v>
      </c>
      <c r="F671">
        <v>0.98378225882441594</v>
      </c>
      <c r="G671">
        <v>0.93754739829539502</v>
      </c>
      <c r="H671">
        <v>-1.04129510990541</v>
      </c>
      <c r="I671">
        <v>2.8859801044054101</v>
      </c>
      <c r="J671">
        <v>0.351844475703737</v>
      </c>
    </row>
    <row r="672" spans="1:10" hidden="1" x14ac:dyDescent="0.2">
      <c r="A672" t="s">
        <v>206</v>
      </c>
      <c r="B672" t="s">
        <v>254</v>
      </c>
      <c r="C672">
        <v>1</v>
      </c>
      <c r="D672" t="s">
        <v>215</v>
      </c>
      <c r="E672">
        <v>-1.7615869183333299</v>
      </c>
      <c r="F672">
        <v>1.0857992288737801</v>
      </c>
      <c r="G672">
        <v>-1.62238733597232</v>
      </c>
      <c r="H672">
        <v>-3.9934791977391102</v>
      </c>
      <c r="I672">
        <v>0.47030536107244703</v>
      </c>
      <c r="J672">
        <v>0.116785489201203</v>
      </c>
    </row>
    <row r="673" spans="1:10" hidden="1" x14ac:dyDescent="0.2">
      <c r="A673" t="s">
        <v>206</v>
      </c>
      <c r="B673" t="s">
        <v>254</v>
      </c>
      <c r="C673">
        <v>1</v>
      </c>
      <c r="D673" t="s">
        <v>211</v>
      </c>
      <c r="E673">
        <v>-1.12383741883333</v>
      </c>
      <c r="F673">
        <v>0.85839966122389999</v>
      </c>
      <c r="G673">
        <v>-1.30922397759451</v>
      </c>
      <c r="H673">
        <v>-2.8883031926001301</v>
      </c>
      <c r="I673">
        <v>0.64062835493346204</v>
      </c>
      <c r="J673">
        <v>0.201911467368391</v>
      </c>
    </row>
    <row r="674" spans="1:10" hidden="1" x14ac:dyDescent="0.2">
      <c r="A674" t="s">
        <v>206</v>
      </c>
      <c r="B674" t="s">
        <v>254</v>
      </c>
      <c r="C674">
        <v>1</v>
      </c>
      <c r="D674" t="s">
        <v>214</v>
      </c>
      <c r="E674">
        <v>-1.4068990639333301</v>
      </c>
      <c r="F674">
        <v>0.68671972897912004</v>
      </c>
      <c r="G674">
        <v>-2.0487238163738701</v>
      </c>
      <c r="H674">
        <v>-2.81847168294677</v>
      </c>
      <c r="I674">
        <v>4.67355508010336E-3</v>
      </c>
      <c r="J674">
        <v>5.0708766568414103E-2</v>
      </c>
    </row>
    <row r="675" spans="1:10" hidden="1" x14ac:dyDescent="0.2">
      <c r="A675" t="s">
        <v>206</v>
      </c>
      <c r="B675" t="s">
        <v>254</v>
      </c>
      <c r="C675">
        <v>1</v>
      </c>
      <c r="D675" t="s">
        <v>210</v>
      </c>
      <c r="E675">
        <v>-1.3030116300000001</v>
      </c>
      <c r="F675">
        <v>0.62688647707616296</v>
      </c>
      <c r="G675">
        <v>-2.0785448045989501</v>
      </c>
      <c r="H675">
        <v>-2.5915952383171699</v>
      </c>
      <c r="I675">
        <v>-1.44280216828252E-2</v>
      </c>
      <c r="J675">
        <v>4.7667776174981698E-2</v>
      </c>
    </row>
    <row r="676" spans="1:10" hidden="1" x14ac:dyDescent="0.2">
      <c r="A676" t="s">
        <v>206</v>
      </c>
      <c r="B676" t="s">
        <v>254</v>
      </c>
      <c r="C676">
        <v>1</v>
      </c>
      <c r="D676" t="s">
        <v>207</v>
      </c>
      <c r="E676">
        <v>-1.01514466277778</v>
      </c>
      <c r="F676">
        <v>0.62688647707616296</v>
      </c>
      <c r="G676">
        <v>-1.6193436928364999</v>
      </c>
      <c r="H676">
        <v>-2.30372827109495</v>
      </c>
      <c r="I676">
        <v>0.27343894553939702</v>
      </c>
      <c r="J676">
        <v>0.117441307560187</v>
      </c>
    </row>
    <row r="677" spans="1:10" hidden="1" x14ac:dyDescent="0.2">
      <c r="A677" t="s">
        <v>206</v>
      </c>
      <c r="B677" t="s">
        <v>254</v>
      </c>
      <c r="C677">
        <v>1</v>
      </c>
      <c r="D677" t="s">
        <v>219</v>
      </c>
      <c r="E677">
        <v>-0.91506498133333303</v>
      </c>
      <c r="F677">
        <v>0.71818868333643004</v>
      </c>
      <c r="G677">
        <v>-1.2741289337535799</v>
      </c>
      <c r="H677">
        <v>-2.3913229624315302</v>
      </c>
      <c r="I677">
        <v>0.56119299976486203</v>
      </c>
      <c r="J677">
        <v>0.21388926267104</v>
      </c>
    </row>
    <row r="678" spans="1:10" hidden="1" x14ac:dyDescent="0.2">
      <c r="A678" t="s">
        <v>206</v>
      </c>
      <c r="B678" t="s">
        <v>255</v>
      </c>
      <c r="C678">
        <v>0</v>
      </c>
      <c r="D678" t="s">
        <v>215</v>
      </c>
      <c r="E678">
        <v>0.32771473816666502</v>
      </c>
      <c r="F678">
        <v>0.60592314364273803</v>
      </c>
      <c r="G678">
        <v>0.54085199023177</v>
      </c>
      <c r="H678">
        <v>-0.88171291844150901</v>
      </c>
      <c r="I678">
        <v>1.5371423947748399</v>
      </c>
      <c r="J678">
        <v>0.59040328962557798</v>
      </c>
    </row>
    <row r="679" spans="1:10" hidden="1" x14ac:dyDescent="0.2">
      <c r="A679" t="s">
        <v>206</v>
      </c>
      <c r="B679" t="s">
        <v>255</v>
      </c>
      <c r="C679">
        <v>0</v>
      </c>
      <c r="D679" t="s">
        <v>211</v>
      </c>
      <c r="E679">
        <v>0.35999648557142799</v>
      </c>
      <c r="F679">
        <v>0.59500471522895404</v>
      </c>
      <c r="G679">
        <v>0.60503131547941402</v>
      </c>
      <c r="H679">
        <v>-0.82763789671000698</v>
      </c>
      <c r="I679">
        <v>1.5476308678528601</v>
      </c>
      <c r="J679">
        <v>0.54720199986371498</v>
      </c>
    </row>
    <row r="680" spans="1:10" hidden="1" x14ac:dyDescent="0.2">
      <c r="A680" t="s">
        <v>206</v>
      </c>
      <c r="B680" t="s">
        <v>255</v>
      </c>
      <c r="C680">
        <v>0</v>
      </c>
      <c r="D680" t="s">
        <v>214</v>
      </c>
      <c r="E680">
        <v>-1.54740965000007E-2</v>
      </c>
      <c r="F680">
        <v>0.58668256110249295</v>
      </c>
      <c r="G680">
        <v>-2.6375586264097899E-2</v>
      </c>
      <c r="H680">
        <v>-1.1864973896215301</v>
      </c>
      <c r="I680">
        <v>1.1555491966215301</v>
      </c>
      <c r="J680">
        <v>0.97903616957032003</v>
      </c>
    </row>
    <row r="681" spans="1:10" hidden="1" x14ac:dyDescent="0.2">
      <c r="A681" t="s">
        <v>206</v>
      </c>
      <c r="B681" t="s">
        <v>255</v>
      </c>
      <c r="C681">
        <v>0</v>
      </c>
      <c r="D681" t="s">
        <v>210</v>
      </c>
      <c r="E681">
        <v>0.36804838644999899</v>
      </c>
      <c r="F681">
        <v>0.55035702612174098</v>
      </c>
      <c r="G681">
        <v>0.66874477653817699</v>
      </c>
      <c r="H681">
        <v>-0.73046883538551399</v>
      </c>
      <c r="I681">
        <v>1.4665656082855101</v>
      </c>
      <c r="J681">
        <v>0.50595596925078001</v>
      </c>
    </row>
    <row r="682" spans="1:10" hidden="1" x14ac:dyDescent="0.2">
      <c r="A682" t="s">
        <v>206</v>
      </c>
      <c r="B682" t="s">
        <v>255</v>
      </c>
      <c r="C682">
        <v>0</v>
      </c>
      <c r="D682" t="s">
        <v>207</v>
      </c>
      <c r="E682">
        <v>-7.3372720592593393E-2</v>
      </c>
      <c r="F682">
        <v>0.54383266482886405</v>
      </c>
      <c r="G682">
        <v>-0.13491782553312201</v>
      </c>
      <c r="H682">
        <v>-1.15886726278284</v>
      </c>
      <c r="I682">
        <v>1.01212182159766</v>
      </c>
      <c r="J682">
        <v>0.89308134709210796</v>
      </c>
    </row>
    <row r="683" spans="1:10" hidden="1" x14ac:dyDescent="0.2">
      <c r="A683" t="s">
        <v>206</v>
      </c>
      <c r="B683" t="s">
        <v>255</v>
      </c>
      <c r="C683">
        <v>0</v>
      </c>
      <c r="D683" t="s">
        <v>219</v>
      </c>
      <c r="E683">
        <v>-0.23166088950000099</v>
      </c>
      <c r="F683">
        <v>0.64267854562147797</v>
      </c>
      <c r="G683">
        <v>-0.36046152633892897</v>
      </c>
      <c r="H683">
        <v>-1.5144526355132999</v>
      </c>
      <c r="I683">
        <v>1.0511308565133</v>
      </c>
      <c r="J683">
        <v>0.71963595935175795</v>
      </c>
    </row>
    <row r="684" spans="1:10" hidden="1" x14ac:dyDescent="0.2">
      <c r="A684" t="s">
        <v>206</v>
      </c>
      <c r="B684" t="s">
        <v>255</v>
      </c>
      <c r="C684">
        <v>1</v>
      </c>
      <c r="D684" t="s">
        <v>215</v>
      </c>
      <c r="E684">
        <v>0.45047236466666701</v>
      </c>
      <c r="F684">
        <v>1.8705729836107301</v>
      </c>
      <c r="G684">
        <v>0.24082052323728501</v>
      </c>
      <c r="H684">
        <v>-3.3945454702752298</v>
      </c>
      <c r="I684">
        <v>4.2954901996085599</v>
      </c>
      <c r="J684">
        <v>0.811583128239874</v>
      </c>
    </row>
    <row r="685" spans="1:10" hidden="1" x14ac:dyDescent="0.2">
      <c r="A685" t="s">
        <v>206</v>
      </c>
      <c r="B685" t="s">
        <v>255</v>
      </c>
      <c r="C685">
        <v>1</v>
      </c>
      <c r="D685" t="s">
        <v>211</v>
      </c>
      <c r="E685">
        <v>-0.61697701783333303</v>
      </c>
      <c r="F685">
        <v>1.4788177894466801</v>
      </c>
      <c r="G685">
        <v>-0.41720962666007799</v>
      </c>
      <c r="H685">
        <v>-3.6567305184297698</v>
      </c>
      <c r="I685">
        <v>2.4227764827631</v>
      </c>
      <c r="J685">
        <v>0.67995001277091505</v>
      </c>
    </row>
    <row r="686" spans="1:10" hidden="1" x14ac:dyDescent="0.2">
      <c r="A686" t="s">
        <v>206</v>
      </c>
      <c r="B686" t="s">
        <v>255</v>
      </c>
      <c r="C686">
        <v>1</v>
      </c>
      <c r="D686" t="s">
        <v>214</v>
      </c>
      <c r="E686">
        <v>-0.79155617753333296</v>
      </c>
      <c r="F686">
        <v>1.18305423155735</v>
      </c>
      <c r="G686">
        <v>-0.66907852270757295</v>
      </c>
      <c r="H686">
        <v>-3.2233589780104799</v>
      </c>
      <c r="I686">
        <v>1.64024662294382</v>
      </c>
      <c r="J686">
        <v>0.50934336379658396</v>
      </c>
    </row>
    <row r="687" spans="1:10" hidden="1" x14ac:dyDescent="0.2">
      <c r="A687" t="s">
        <v>206</v>
      </c>
      <c r="B687" t="s">
        <v>255</v>
      </c>
      <c r="C687">
        <v>1</v>
      </c>
      <c r="D687" t="s">
        <v>210</v>
      </c>
      <c r="E687">
        <v>-0.14060389877777801</v>
      </c>
      <c r="F687">
        <v>1.0799758156265</v>
      </c>
      <c r="G687">
        <v>-0.13019171053956699</v>
      </c>
      <c r="H687">
        <v>-2.3605259808203898</v>
      </c>
      <c r="I687">
        <v>2.07931818326484</v>
      </c>
      <c r="J687">
        <v>0.897416811073392</v>
      </c>
    </row>
    <row r="688" spans="1:10" hidden="1" x14ac:dyDescent="0.2">
      <c r="A688" t="s">
        <v>206</v>
      </c>
      <c r="B688" t="s">
        <v>255</v>
      </c>
      <c r="C688">
        <v>1</v>
      </c>
      <c r="D688" t="s">
        <v>207</v>
      </c>
      <c r="E688">
        <v>-0.334198260333333</v>
      </c>
      <c r="F688">
        <v>1.0799758156265</v>
      </c>
      <c r="G688">
        <v>-0.30944976313146699</v>
      </c>
      <c r="H688">
        <v>-2.55412034237595</v>
      </c>
      <c r="I688">
        <v>1.88572382170928</v>
      </c>
      <c r="J688">
        <v>0.759445865613954</v>
      </c>
    </row>
    <row r="689" spans="1:10" hidden="1" x14ac:dyDescent="0.2">
      <c r="A689" t="s">
        <v>206</v>
      </c>
      <c r="B689" t="s">
        <v>255</v>
      </c>
      <c r="C689">
        <v>1</v>
      </c>
      <c r="D689" t="s">
        <v>219</v>
      </c>
      <c r="E689">
        <v>0.113612369666667</v>
      </c>
      <c r="F689">
        <v>1.23726773095753</v>
      </c>
      <c r="G689">
        <v>9.1825210359880297E-2</v>
      </c>
      <c r="H689">
        <v>-2.4296278747994</v>
      </c>
      <c r="I689">
        <v>2.6568526141327302</v>
      </c>
      <c r="J689">
        <v>0.92754076388982098</v>
      </c>
    </row>
    <row r="690" spans="1:10" hidden="1" x14ac:dyDescent="0.2">
      <c r="A690" t="s">
        <v>206</v>
      </c>
      <c r="B690" t="s">
        <v>26</v>
      </c>
      <c r="C690">
        <v>0</v>
      </c>
      <c r="D690" t="s">
        <v>215</v>
      </c>
      <c r="E690">
        <v>0.7510954205</v>
      </c>
      <c r="F690">
        <v>1.0995911378790799</v>
      </c>
      <c r="G690">
        <v>0.68306791008586398</v>
      </c>
      <c r="H690">
        <v>-1.4436976767188301</v>
      </c>
      <c r="I690">
        <v>2.9458885177188301</v>
      </c>
      <c r="J690">
        <v>0.49691920044246402</v>
      </c>
    </row>
    <row r="691" spans="1:10" hidden="1" x14ac:dyDescent="0.2">
      <c r="A691" t="s">
        <v>206</v>
      </c>
      <c r="B691" t="s">
        <v>26</v>
      </c>
      <c r="C691">
        <v>0</v>
      </c>
      <c r="D691" t="s">
        <v>211</v>
      </c>
      <c r="E691">
        <v>0.89714771285714501</v>
      </c>
      <c r="F691">
        <v>1.0797770620357601</v>
      </c>
      <c r="G691">
        <v>0.83086383699030397</v>
      </c>
      <c r="H691">
        <v>-1.25809632345111</v>
      </c>
      <c r="I691">
        <v>3.0523917491654</v>
      </c>
      <c r="J691">
        <v>0.40900168248850799</v>
      </c>
    </row>
    <row r="692" spans="1:10" hidden="1" x14ac:dyDescent="0.2">
      <c r="A692" t="s">
        <v>206</v>
      </c>
      <c r="B692" t="s">
        <v>26</v>
      </c>
      <c r="C692">
        <v>0</v>
      </c>
      <c r="D692" t="s">
        <v>214</v>
      </c>
      <c r="E692">
        <v>0.43635095350000302</v>
      </c>
      <c r="F692">
        <v>1.0646745411607399</v>
      </c>
      <c r="G692">
        <v>0.40984445164273497</v>
      </c>
      <c r="H692">
        <v>-1.68874832497488</v>
      </c>
      <c r="I692">
        <v>2.56145023197488</v>
      </c>
      <c r="J692">
        <v>0.68322754375380701</v>
      </c>
    </row>
    <row r="693" spans="1:10" hidden="1" x14ac:dyDescent="0.2">
      <c r="A693" t="s">
        <v>206</v>
      </c>
      <c r="B693" t="s">
        <v>26</v>
      </c>
      <c r="C693">
        <v>0</v>
      </c>
      <c r="D693" t="s">
        <v>210</v>
      </c>
      <c r="E693">
        <v>0.75959037840000199</v>
      </c>
      <c r="F693">
        <v>0.99875324938862098</v>
      </c>
      <c r="G693">
        <v>0.76053858034001798</v>
      </c>
      <c r="H693">
        <v>-1.2339294509895999</v>
      </c>
      <c r="I693">
        <v>2.7531102077896001</v>
      </c>
      <c r="J693">
        <v>0.44960096861600402</v>
      </c>
    </row>
    <row r="694" spans="1:10" hidden="1" x14ac:dyDescent="0.2">
      <c r="A694" t="s">
        <v>206</v>
      </c>
      <c r="B694" t="s">
        <v>26</v>
      </c>
      <c r="C694">
        <v>0</v>
      </c>
      <c r="D694" t="s">
        <v>207</v>
      </c>
      <c r="E694">
        <v>0.273954147481483</v>
      </c>
      <c r="F694">
        <v>0.98691324965723604</v>
      </c>
      <c r="G694">
        <v>0.27758685738248001</v>
      </c>
      <c r="H694">
        <v>-1.69593294353261</v>
      </c>
      <c r="I694">
        <v>2.2438412384955799</v>
      </c>
      <c r="J694">
        <v>0.78218426531405005</v>
      </c>
    </row>
    <row r="695" spans="1:10" hidden="1" x14ac:dyDescent="0.2">
      <c r="A695" t="s">
        <v>206</v>
      </c>
      <c r="B695" t="s">
        <v>26</v>
      </c>
      <c r="C695">
        <v>0</v>
      </c>
      <c r="D695" t="s">
        <v>219</v>
      </c>
      <c r="E695">
        <v>0.37153864650000301</v>
      </c>
      <c r="F695">
        <v>1.1662925251903999</v>
      </c>
      <c r="G695">
        <v>0.31856385810185101</v>
      </c>
      <c r="H695">
        <v>-1.95639097701729</v>
      </c>
      <c r="I695">
        <v>2.6994682700173001</v>
      </c>
      <c r="J695">
        <v>0.751048212131737</v>
      </c>
    </row>
    <row r="696" spans="1:10" hidden="1" x14ac:dyDescent="0.2">
      <c r="A696" t="s">
        <v>206</v>
      </c>
      <c r="B696" t="s">
        <v>26</v>
      </c>
      <c r="C696">
        <v>1</v>
      </c>
      <c r="D696" t="s">
        <v>215</v>
      </c>
      <c r="E696">
        <v>-0.72196970366666502</v>
      </c>
      <c r="F696">
        <v>0.95729405557931502</v>
      </c>
      <c r="G696">
        <v>-0.75417756901222899</v>
      </c>
      <c r="H696">
        <v>-2.6897158163477699</v>
      </c>
      <c r="I696">
        <v>1.2457764090144401</v>
      </c>
      <c r="J696">
        <v>0.45751920700024501</v>
      </c>
    </row>
    <row r="697" spans="1:10" hidden="1" x14ac:dyDescent="0.2">
      <c r="A697" t="s">
        <v>206</v>
      </c>
      <c r="B697" t="s">
        <v>26</v>
      </c>
      <c r="C697">
        <v>1</v>
      </c>
      <c r="D697" t="s">
        <v>211</v>
      </c>
      <c r="E697">
        <v>-1.5745618781666699</v>
      </c>
      <c r="F697">
        <v>0.75680740154261406</v>
      </c>
      <c r="G697">
        <v>-2.08053181688922</v>
      </c>
      <c r="H697">
        <v>-3.1302017714203298</v>
      </c>
      <c r="I697">
        <v>-1.8921984913005299E-2</v>
      </c>
      <c r="J697">
        <v>4.7471034747059701E-2</v>
      </c>
    </row>
    <row r="698" spans="1:10" hidden="1" x14ac:dyDescent="0.2">
      <c r="A698" t="s">
        <v>206</v>
      </c>
      <c r="B698" t="s">
        <v>26</v>
      </c>
      <c r="C698">
        <v>1</v>
      </c>
      <c r="D698" t="s">
        <v>214</v>
      </c>
      <c r="E698">
        <v>-1.5027073280666701</v>
      </c>
      <c r="F698">
        <v>0.60544592123409102</v>
      </c>
      <c r="G698">
        <v>-2.4819843942522102</v>
      </c>
      <c r="H698">
        <v>-2.7472192426695901</v>
      </c>
      <c r="I698">
        <v>-0.25819541346373698</v>
      </c>
      <c r="J698">
        <v>1.9849252829583799E-2</v>
      </c>
    </row>
    <row r="699" spans="1:10" hidden="1" x14ac:dyDescent="0.2">
      <c r="A699" t="s">
        <v>206</v>
      </c>
      <c r="B699" t="s">
        <v>26</v>
      </c>
      <c r="C699">
        <v>1</v>
      </c>
      <c r="D699" t="s">
        <v>210</v>
      </c>
      <c r="E699">
        <v>-1.46705878122222</v>
      </c>
      <c r="F699">
        <v>0.55269398068234599</v>
      </c>
      <c r="G699">
        <v>-2.6543780690555301</v>
      </c>
      <c r="H699">
        <v>-2.6031375290755001</v>
      </c>
      <c r="I699">
        <v>-0.33098003336894399</v>
      </c>
      <c r="J699">
        <v>1.3378529460710199E-2</v>
      </c>
    </row>
    <row r="700" spans="1:10" hidden="1" x14ac:dyDescent="0.2">
      <c r="A700" t="s">
        <v>206</v>
      </c>
      <c r="B700" t="s">
        <v>26</v>
      </c>
      <c r="C700">
        <v>1</v>
      </c>
      <c r="D700" t="s">
        <v>207</v>
      </c>
      <c r="E700">
        <v>-1.308845252</v>
      </c>
      <c r="F700">
        <v>0.55269398068234599</v>
      </c>
      <c r="G700">
        <v>-2.36811924454853</v>
      </c>
      <c r="H700">
        <v>-2.4449239998532799</v>
      </c>
      <c r="I700">
        <v>-0.17276650414672101</v>
      </c>
      <c r="J700">
        <v>2.5597047940724999E-2</v>
      </c>
    </row>
    <row r="701" spans="1:10" hidden="1" x14ac:dyDescent="0.2">
      <c r="A701" t="s">
        <v>206</v>
      </c>
      <c r="B701" t="s">
        <v>26</v>
      </c>
      <c r="C701">
        <v>1</v>
      </c>
      <c r="D701" t="s">
        <v>219</v>
      </c>
      <c r="E701">
        <v>-1.07650621766667</v>
      </c>
      <c r="F701">
        <v>0.63319050065582805</v>
      </c>
      <c r="G701">
        <v>-1.7001300817868801</v>
      </c>
      <c r="H701">
        <v>-2.37804793203374</v>
      </c>
      <c r="I701">
        <v>0.22503549670040801</v>
      </c>
      <c r="J701">
        <v>0.10104047443455</v>
      </c>
    </row>
    <row r="702" spans="1:10" hidden="1" x14ac:dyDescent="0.2">
      <c r="A702" t="s">
        <v>206</v>
      </c>
      <c r="B702" t="s">
        <v>17</v>
      </c>
      <c r="C702">
        <v>0</v>
      </c>
      <c r="D702" t="s">
        <v>215</v>
      </c>
      <c r="E702">
        <v>0.61875568999999697</v>
      </c>
      <c r="F702">
        <v>1.0853201432853601</v>
      </c>
      <c r="G702">
        <v>0.57011352256576397</v>
      </c>
      <c r="H702">
        <v>-1.5475523827895099</v>
      </c>
      <c r="I702">
        <v>2.7850637627895098</v>
      </c>
      <c r="J702">
        <v>0.57050760313805204</v>
      </c>
    </row>
    <row r="703" spans="1:10" hidden="1" x14ac:dyDescent="0.2">
      <c r="A703" t="s">
        <v>206</v>
      </c>
      <c r="B703" t="s">
        <v>17</v>
      </c>
      <c r="C703">
        <v>0</v>
      </c>
      <c r="D703" t="s">
        <v>211</v>
      </c>
      <c r="E703">
        <v>1.08239646435714</v>
      </c>
      <c r="F703">
        <v>1.06576322354261</v>
      </c>
      <c r="G703">
        <v>1.0156068819481701</v>
      </c>
      <c r="H703">
        <v>-1.04487583324683</v>
      </c>
      <c r="I703">
        <v>3.20966876196111</v>
      </c>
      <c r="J703">
        <v>0.31347018987813802</v>
      </c>
    </row>
    <row r="704" spans="1:10" hidden="1" x14ac:dyDescent="0.2">
      <c r="A704" t="s">
        <v>206</v>
      </c>
      <c r="B704" t="s">
        <v>17</v>
      </c>
      <c r="C704">
        <v>0</v>
      </c>
      <c r="D704" t="s">
        <v>214</v>
      </c>
      <c r="E704">
        <v>0.301532315749999</v>
      </c>
      <c r="F704">
        <v>1.0508567100619099</v>
      </c>
      <c r="G704">
        <v>0.28693951598047401</v>
      </c>
      <c r="H704">
        <v>-1.79598645641712</v>
      </c>
      <c r="I704">
        <v>2.3990510879171199</v>
      </c>
      <c r="J704">
        <v>0.77504415736093901</v>
      </c>
    </row>
    <row r="705" spans="1:10" hidden="1" x14ac:dyDescent="0.2">
      <c r="A705" t="s">
        <v>206</v>
      </c>
      <c r="B705" t="s">
        <v>17</v>
      </c>
      <c r="C705">
        <v>0</v>
      </c>
      <c r="D705" t="s">
        <v>210</v>
      </c>
      <c r="E705">
        <v>0.78637890314999803</v>
      </c>
      <c r="F705">
        <v>0.98579097483811995</v>
      </c>
      <c r="G705">
        <v>0.79771363627987302</v>
      </c>
      <c r="H705">
        <v>-1.18126811794963</v>
      </c>
      <c r="I705">
        <v>2.7540259242496301</v>
      </c>
      <c r="J705">
        <v>0.427854917642781</v>
      </c>
    </row>
    <row r="706" spans="1:10" hidden="1" x14ac:dyDescent="0.2">
      <c r="A706" t="s">
        <v>206</v>
      </c>
      <c r="B706" t="s">
        <v>17</v>
      </c>
      <c r="C706">
        <v>0</v>
      </c>
      <c r="D706" t="s">
        <v>207</v>
      </c>
      <c r="E706">
        <v>0.109209953574072</v>
      </c>
      <c r="F706">
        <v>0.97410464001575103</v>
      </c>
      <c r="G706">
        <v>0.112113164323194</v>
      </c>
      <c r="H706">
        <v>-1.83511104559217</v>
      </c>
      <c r="I706">
        <v>2.0535309527403198</v>
      </c>
      <c r="J706">
        <v>0.91106889528050194</v>
      </c>
    </row>
    <row r="707" spans="1:10" hidden="1" x14ac:dyDescent="0.2">
      <c r="A707" t="s">
        <v>206</v>
      </c>
      <c r="B707" t="s">
        <v>17</v>
      </c>
      <c r="C707">
        <v>0</v>
      </c>
      <c r="D707" t="s">
        <v>219</v>
      </c>
      <c r="E707">
        <v>4.0267934499998097E-2</v>
      </c>
      <c r="F707">
        <v>1.15115584961315</v>
      </c>
      <c r="G707">
        <v>3.4980436848346903E-2</v>
      </c>
      <c r="H707">
        <v>-2.2574487581129499</v>
      </c>
      <c r="I707">
        <v>2.3379846271129399</v>
      </c>
      <c r="J707">
        <v>0.97219934903250704</v>
      </c>
    </row>
    <row r="708" spans="1:10" hidden="1" x14ac:dyDescent="0.2">
      <c r="A708" t="s">
        <v>206</v>
      </c>
      <c r="B708" t="s">
        <v>17</v>
      </c>
      <c r="C708">
        <v>1</v>
      </c>
      <c r="D708" t="s">
        <v>215</v>
      </c>
      <c r="E708">
        <v>0.32393047733333302</v>
      </c>
      <c r="F708">
        <v>0.80144335152861601</v>
      </c>
      <c r="G708">
        <v>0.404183872404071</v>
      </c>
      <c r="H708">
        <v>-1.3234599251383401</v>
      </c>
      <c r="I708">
        <v>1.9713208798050099</v>
      </c>
      <c r="J708">
        <v>0.68938308137271098</v>
      </c>
    </row>
    <row r="709" spans="1:10" hidden="1" x14ac:dyDescent="0.2">
      <c r="A709" t="s">
        <v>206</v>
      </c>
      <c r="B709" t="s">
        <v>17</v>
      </c>
      <c r="C709">
        <v>1</v>
      </c>
      <c r="D709" t="s">
        <v>211</v>
      </c>
      <c r="E709">
        <v>-0.21939488666666601</v>
      </c>
      <c r="F709">
        <v>0.63359660160735398</v>
      </c>
      <c r="G709">
        <v>-0.34626903949624999</v>
      </c>
      <c r="H709">
        <v>-1.52177135349466</v>
      </c>
      <c r="I709">
        <v>1.0829815801613301</v>
      </c>
      <c r="J709">
        <v>0.73192711192679805</v>
      </c>
    </row>
    <row r="710" spans="1:10" hidden="1" x14ac:dyDescent="0.2">
      <c r="A710" t="s">
        <v>206</v>
      </c>
      <c r="B710" t="s">
        <v>17</v>
      </c>
      <c r="C710">
        <v>1</v>
      </c>
      <c r="D710" t="s">
        <v>214</v>
      </c>
      <c r="E710">
        <v>-0.30265448446666698</v>
      </c>
      <c r="F710">
        <v>0.50687728128588305</v>
      </c>
      <c r="G710">
        <v>-0.59709617227047695</v>
      </c>
      <c r="H710">
        <v>-1.3445556579290601</v>
      </c>
      <c r="I710">
        <v>0.73924668899572998</v>
      </c>
      <c r="J710">
        <v>0.55560778605989203</v>
      </c>
    </row>
    <row r="711" spans="1:10" hidden="1" x14ac:dyDescent="0.2">
      <c r="A711" t="s">
        <v>206</v>
      </c>
      <c r="B711" t="s">
        <v>17</v>
      </c>
      <c r="C711">
        <v>1</v>
      </c>
      <c r="D711" t="s">
        <v>210</v>
      </c>
      <c r="E711">
        <v>-0.37244854888888901</v>
      </c>
      <c r="F711">
        <v>0.46271353474528198</v>
      </c>
      <c r="G711">
        <v>-0.80492252964659305</v>
      </c>
      <c r="H711">
        <v>-1.3235698412163199</v>
      </c>
      <c r="I711">
        <v>0.57867274343854003</v>
      </c>
      <c r="J711">
        <v>0.42816409891542301</v>
      </c>
    </row>
    <row r="712" spans="1:10" hidden="1" x14ac:dyDescent="0.2">
      <c r="A712" t="s">
        <v>206</v>
      </c>
      <c r="B712" t="s">
        <v>17</v>
      </c>
      <c r="C712">
        <v>1</v>
      </c>
      <c r="D712" t="s">
        <v>207</v>
      </c>
      <c r="E712">
        <v>0.28997950577777798</v>
      </c>
      <c r="F712">
        <v>0.46271353474528198</v>
      </c>
      <c r="G712">
        <v>0.62669337290383798</v>
      </c>
      <c r="H712">
        <v>-0.66114178654965094</v>
      </c>
      <c r="I712">
        <v>1.24110079810521</v>
      </c>
      <c r="J712">
        <v>0.53632462887701404</v>
      </c>
    </row>
    <row r="713" spans="1:10" hidden="1" x14ac:dyDescent="0.2">
      <c r="A713" t="s">
        <v>206</v>
      </c>
      <c r="B713" t="s">
        <v>17</v>
      </c>
      <c r="C713">
        <v>1</v>
      </c>
      <c r="D713" t="s">
        <v>219</v>
      </c>
      <c r="E713">
        <v>7.7822719833333595E-2</v>
      </c>
      <c r="F713">
        <v>0.53010494951270903</v>
      </c>
      <c r="G713">
        <v>0.14680625016776599</v>
      </c>
      <c r="H713">
        <v>-1.0118236094603299</v>
      </c>
      <c r="I713">
        <v>1.1674690491269999</v>
      </c>
      <c r="J713">
        <v>0.884417375400252</v>
      </c>
    </row>
    <row r="714" spans="1:10" hidden="1" x14ac:dyDescent="0.2">
      <c r="A714" t="s">
        <v>206</v>
      </c>
      <c r="B714" t="s">
        <v>21</v>
      </c>
      <c r="C714">
        <v>0</v>
      </c>
      <c r="D714" t="s">
        <v>215</v>
      </c>
      <c r="E714">
        <v>0.39229562199999801</v>
      </c>
      <c r="F714">
        <v>0.98529088873010595</v>
      </c>
      <c r="G714">
        <v>0.39815208532538998</v>
      </c>
      <c r="H714">
        <v>-1.5743532230502999</v>
      </c>
      <c r="I714">
        <v>2.3589444670502999</v>
      </c>
      <c r="J714">
        <v>0.69178398390227003</v>
      </c>
    </row>
    <row r="715" spans="1:10" hidden="1" x14ac:dyDescent="0.2">
      <c r="A715" t="s">
        <v>206</v>
      </c>
      <c r="B715" t="s">
        <v>21</v>
      </c>
      <c r="C715">
        <v>0</v>
      </c>
      <c r="D715" t="s">
        <v>211</v>
      </c>
      <c r="E715">
        <v>0.96387297750000001</v>
      </c>
      <c r="F715">
        <v>0.96753644553343598</v>
      </c>
      <c r="G715">
        <v>0.99621361236535499</v>
      </c>
      <c r="H715">
        <v>-0.96733785060867905</v>
      </c>
      <c r="I715">
        <v>2.8950838056086798</v>
      </c>
      <c r="J715">
        <v>0.32273074556335501</v>
      </c>
    </row>
    <row r="716" spans="1:10" hidden="1" x14ac:dyDescent="0.2">
      <c r="A716" t="s">
        <v>206</v>
      </c>
      <c r="B716" t="s">
        <v>21</v>
      </c>
      <c r="C716">
        <v>0</v>
      </c>
      <c r="D716" t="s">
        <v>214</v>
      </c>
      <c r="E716">
        <v>3.9471329499998202E-2</v>
      </c>
      <c r="F716">
        <v>0.95400380080540204</v>
      </c>
      <c r="G716">
        <v>4.1374394385719597E-2</v>
      </c>
      <c r="H716">
        <v>-1.86472822667947</v>
      </c>
      <c r="I716">
        <v>1.94367088567947</v>
      </c>
      <c r="J716">
        <v>0.96712047545896196</v>
      </c>
    </row>
    <row r="717" spans="1:10" hidden="1" x14ac:dyDescent="0.2">
      <c r="A717" t="s">
        <v>206</v>
      </c>
      <c r="B717" t="s">
        <v>21</v>
      </c>
      <c r="C717">
        <v>0</v>
      </c>
      <c r="D717" t="s">
        <v>210</v>
      </c>
      <c r="E717">
        <v>0.65294936754999899</v>
      </c>
      <c r="F717">
        <v>0.89493489244582303</v>
      </c>
      <c r="G717">
        <v>0.72960544176069997</v>
      </c>
      <c r="H717">
        <v>-1.1333481540805901</v>
      </c>
      <c r="I717">
        <v>2.4392468891805899</v>
      </c>
      <c r="J717">
        <v>0.46817454919968199</v>
      </c>
    </row>
    <row r="718" spans="1:10" hidden="1" x14ac:dyDescent="0.2">
      <c r="A718" t="s">
        <v>206</v>
      </c>
      <c r="B718" t="s">
        <v>21</v>
      </c>
      <c r="C718">
        <v>0</v>
      </c>
      <c r="D718" t="s">
        <v>207</v>
      </c>
      <c r="E718">
        <v>-1.66919820555568E-2</v>
      </c>
      <c r="F718">
        <v>0.884325636463275</v>
      </c>
      <c r="G718">
        <v>-1.8875379574331701E-2</v>
      </c>
      <c r="H718">
        <v>-1.78181334011499</v>
      </c>
      <c r="I718">
        <v>1.74842937600388</v>
      </c>
      <c r="J718">
        <v>0.98499661889516998</v>
      </c>
    </row>
    <row r="719" spans="1:10" hidden="1" x14ac:dyDescent="0.2">
      <c r="A719" t="s">
        <v>206</v>
      </c>
      <c r="B719" t="s">
        <v>21</v>
      </c>
      <c r="C719">
        <v>0</v>
      </c>
      <c r="D719" t="s">
        <v>219</v>
      </c>
      <c r="E719">
        <v>-1.2833251000000601E-2</v>
      </c>
      <c r="F719">
        <v>1.0450588032935699</v>
      </c>
      <c r="G719">
        <v>-1.2279931961298E-2</v>
      </c>
      <c r="H719">
        <v>-2.0987793528216399</v>
      </c>
      <c r="I719">
        <v>2.0731128508216399</v>
      </c>
      <c r="J719">
        <v>0.99023877097649105</v>
      </c>
    </row>
    <row r="720" spans="1:10" hidden="1" x14ac:dyDescent="0.2">
      <c r="A720" t="s">
        <v>206</v>
      </c>
      <c r="B720" t="s">
        <v>21</v>
      </c>
      <c r="C720">
        <v>1</v>
      </c>
      <c r="D720" t="s">
        <v>215</v>
      </c>
      <c r="E720">
        <v>2.7010351333333502E-2</v>
      </c>
      <c r="F720">
        <v>1.1406852306334501</v>
      </c>
      <c r="G720">
        <v>2.3679057647072399E-2</v>
      </c>
      <c r="H720">
        <v>-2.3177017204588601</v>
      </c>
      <c r="I720">
        <v>2.3717224231255298</v>
      </c>
      <c r="J720">
        <v>0.98128941131079594</v>
      </c>
    </row>
    <row r="721" spans="1:10" hidden="1" x14ac:dyDescent="0.2">
      <c r="A721" t="s">
        <v>206</v>
      </c>
      <c r="B721" t="s">
        <v>21</v>
      </c>
      <c r="C721">
        <v>1</v>
      </c>
      <c r="D721" t="s">
        <v>211</v>
      </c>
      <c r="E721">
        <v>-0.60453393616666595</v>
      </c>
      <c r="F721">
        <v>0.90179085552904403</v>
      </c>
      <c r="G721">
        <v>-0.67037044394513201</v>
      </c>
      <c r="H721">
        <v>-2.45819158720556</v>
      </c>
      <c r="I721">
        <v>1.2491237148722301</v>
      </c>
      <c r="J721">
        <v>0.50853292462039201</v>
      </c>
    </row>
    <row r="722" spans="1:10" hidden="1" x14ac:dyDescent="0.2">
      <c r="A722" t="s">
        <v>206</v>
      </c>
      <c r="B722" t="s">
        <v>21</v>
      </c>
      <c r="C722">
        <v>1</v>
      </c>
      <c r="D722" t="s">
        <v>214</v>
      </c>
      <c r="E722">
        <v>-0.78093681466666698</v>
      </c>
      <c r="F722">
        <v>0.72143268442323605</v>
      </c>
      <c r="G722">
        <v>-1.0824805023784101</v>
      </c>
      <c r="H722">
        <v>-2.2638629354977802</v>
      </c>
      <c r="I722">
        <v>0.70198930616444799</v>
      </c>
      <c r="J722">
        <v>0.28897664718365301</v>
      </c>
    </row>
    <row r="723" spans="1:10" hidden="1" x14ac:dyDescent="0.2">
      <c r="A723" t="s">
        <v>206</v>
      </c>
      <c r="B723" t="s">
        <v>21</v>
      </c>
      <c r="C723">
        <v>1</v>
      </c>
      <c r="D723" t="s">
        <v>210</v>
      </c>
      <c r="E723">
        <v>-0.78303061555555498</v>
      </c>
      <c r="F723">
        <v>0.65857492496685299</v>
      </c>
      <c r="G723">
        <v>-1.18897726875187</v>
      </c>
      <c r="H723">
        <v>-2.1367507613769399</v>
      </c>
      <c r="I723">
        <v>0.57068953026583202</v>
      </c>
      <c r="J723">
        <v>0.245194708645052</v>
      </c>
    </row>
    <row r="724" spans="1:10" hidden="1" x14ac:dyDescent="0.2">
      <c r="A724" t="s">
        <v>206</v>
      </c>
      <c r="B724" t="s">
        <v>21</v>
      </c>
      <c r="C724">
        <v>1</v>
      </c>
      <c r="D724" t="s">
        <v>207</v>
      </c>
      <c r="E724">
        <v>0.13721454433333399</v>
      </c>
      <c r="F724">
        <v>0.65857492496685299</v>
      </c>
      <c r="G724">
        <v>0.20835069652893301</v>
      </c>
      <c r="H724">
        <v>-1.21650560148805</v>
      </c>
      <c r="I724">
        <v>1.49093469015472</v>
      </c>
      <c r="J724">
        <v>0.83657873182625797</v>
      </c>
    </row>
    <row r="725" spans="1:10" hidden="1" x14ac:dyDescent="0.2">
      <c r="A725" t="s">
        <v>206</v>
      </c>
      <c r="B725" t="s">
        <v>21</v>
      </c>
      <c r="C725">
        <v>1</v>
      </c>
      <c r="D725" t="s">
        <v>219</v>
      </c>
      <c r="E725">
        <v>-0.103020300916666</v>
      </c>
      <c r="F725">
        <v>0.75449236111511697</v>
      </c>
      <c r="G725">
        <v>-0.13654253671224101</v>
      </c>
      <c r="H725">
        <v>-1.6539015604199601</v>
      </c>
      <c r="I725">
        <v>1.44786095858663</v>
      </c>
      <c r="J725">
        <v>0.89244419268905295</v>
      </c>
    </row>
    <row r="726" spans="1:10" hidden="1" x14ac:dyDescent="0.2">
      <c r="A726" t="s">
        <v>206</v>
      </c>
      <c r="B726" t="s">
        <v>29</v>
      </c>
      <c r="C726">
        <v>0</v>
      </c>
      <c r="D726" t="s">
        <v>215</v>
      </c>
      <c r="E726">
        <v>0.87137413033333699</v>
      </c>
      <c r="F726">
        <v>1.0486511735341499</v>
      </c>
      <c r="G726">
        <v>0.83094755656129504</v>
      </c>
      <c r="H726">
        <v>-1.22174237249926</v>
      </c>
      <c r="I726">
        <v>2.96449063316593</v>
      </c>
      <c r="J726">
        <v>0.40895471814703299</v>
      </c>
    </row>
    <row r="727" spans="1:10" hidden="1" x14ac:dyDescent="0.2">
      <c r="A727" t="s">
        <v>206</v>
      </c>
      <c r="B727" t="s">
        <v>29</v>
      </c>
      <c r="C727">
        <v>0</v>
      </c>
      <c r="D727" t="s">
        <v>211</v>
      </c>
      <c r="E727">
        <v>0.45873228685714801</v>
      </c>
      <c r="F727">
        <v>1.0297550100695401</v>
      </c>
      <c r="G727">
        <v>0.44547711093551101</v>
      </c>
      <c r="H727">
        <v>-1.59666731584106</v>
      </c>
      <c r="I727">
        <v>2.5141318895553502</v>
      </c>
      <c r="J727">
        <v>0.65741110604366404</v>
      </c>
    </row>
    <row r="728" spans="1:10" hidden="1" x14ac:dyDescent="0.2">
      <c r="A728" t="s">
        <v>206</v>
      </c>
      <c r="B728" t="s">
        <v>29</v>
      </c>
      <c r="C728">
        <v>0</v>
      </c>
      <c r="D728" t="s">
        <v>214</v>
      </c>
      <c r="E728">
        <v>0.386331123000004</v>
      </c>
      <c r="F728">
        <v>1.01535213276966</v>
      </c>
      <c r="G728">
        <v>0.38048979317764198</v>
      </c>
      <c r="H728">
        <v>-1.6403202162856301</v>
      </c>
      <c r="I728">
        <v>2.41298246228564</v>
      </c>
      <c r="J728">
        <v>0.70478553530287003</v>
      </c>
    </row>
    <row r="729" spans="1:10" hidden="1" x14ac:dyDescent="0.2">
      <c r="A729" t="s">
        <v>206</v>
      </c>
      <c r="B729" t="s">
        <v>29</v>
      </c>
      <c r="C729">
        <v>0</v>
      </c>
      <c r="D729" t="s">
        <v>210</v>
      </c>
      <c r="E729">
        <v>0.31188624355000499</v>
      </c>
      <c r="F729">
        <v>0.95248472906262704</v>
      </c>
      <c r="G729">
        <v>0.32744487552776103</v>
      </c>
      <c r="H729">
        <v>-1.5892812327405199</v>
      </c>
      <c r="I729">
        <v>2.2130537198405298</v>
      </c>
      <c r="J729">
        <v>0.744352366536424</v>
      </c>
    </row>
    <row r="730" spans="1:10" hidden="1" x14ac:dyDescent="0.2">
      <c r="A730" t="s">
        <v>206</v>
      </c>
      <c r="B730" t="s">
        <v>29</v>
      </c>
      <c r="C730">
        <v>0</v>
      </c>
      <c r="D730" t="s">
        <v>207</v>
      </c>
      <c r="E730">
        <v>9.8359442740745706E-2</v>
      </c>
      <c r="F730">
        <v>0.94119323244606801</v>
      </c>
      <c r="G730">
        <v>0.104505046732135</v>
      </c>
      <c r="H730">
        <v>-1.7802701119736799</v>
      </c>
      <c r="I730">
        <v>1.97698899745517</v>
      </c>
      <c r="J730">
        <v>0.91708078033710005</v>
      </c>
    </row>
    <row r="731" spans="1:10" hidden="1" x14ac:dyDescent="0.2">
      <c r="A731" t="s">
        <v>206</v>
      </c>
      <c r="B731" t="s">
        <v>29</v>
      </c>
      <c r="C731">
        <v>0</v>
      </c>
      <c r="D731" t="s">
        <v>219</v>
      </c>
      <c r="E731">
        <v>2.3374476750008401E-2</v>
      </c>
      <c r="F731">
        <v>1.11226253385785</v>
      </c>
      <c r="G731">
        <v>2.1015251380386599E-2</v>
      </c>
      <c r="H731">
        <v>-2.1967108326995901</v>
      </c>
      <c r="I731">
        <v>2.24345978619961</v>
      </c>
      <c r="J731">
        <v>0.98329595058649499</v>
      </c>
    </row>
    <row r="732" spans="1:10" hidden="1" x14ac:dyDescent="0.2">
      <c r="A732" t="s">
        <v>206</v>
      </c>
      <c r="B732" t="s">
        <v>29</v>
      </c>
      <c r="C732">
        <v>1</v>
      </c>
      <c r="D732" t="s">
        <v>215</v>
      </c>
      <c r="E732">
        <v>1.03602539466667</v>
      </c>
      <c r="F732">
        <v>0.68185215048594805</v>
      </c>
      <c r="G732">
        <v>1.51942821318126</v>
      </c>
      <c r="H732">
        <v>-0.36554177345915001</v>
      </c>
      <c r="I732">
        <v>2.4375925627924802</v>
      </c>
      <c r="J732">
        <v>0.14072293073169301</v>
      </c>
    </row>
    <row r="733" spans="1:10" hidden="1" x14ac:dyDescent="0.2">
      <c r="A733" t="s">
        <v>206</v>
      </c>
      <c r="B733" t="s">
        <v>29</v>
      </c>
      <c r="C733">
        <v>1</v>
      </c>
      <c r="D733" t="s">
        <v>211</v>
      </c>
      <c r="E733">
        <v>-9.1352283833332701E-2</v>
      </c>
      <c r="F733">
        <v>0.53905145575487101</v>
      </c>
      <c r="G733">
        <v>-0.16946857829259701</v>
      </c>
      <c r="H733">
        <v>-1.1993884200807701</v>
      </c>
      <c r="I733">
        <v>1.0166838524141</v>
      </c>
      <c r="J733">
        <v>0.86673975162478301</v>
      </c>
    </row>
    <row r="734" spans="1:10" hidden="1" x14ac:dyDescent="0.2">
      <c r="A734" t="s">
        <v>206</v>
      </c>
      <c r="B734" t="s">
        <v>29</v>
      </c>
      <c r="C734">
        <v>1</v>
      </c>
      <c r="D734" t="s">
        <v>214</v>
      </c>
      <c r="E734">
        <v>-0.27310830153333299</v>
      </c>
      <c r="F734">
        <v>0.431241164603897</v>
      </c>
      <c r="G734">
        <v>-0.63330758737790704</v>
      </c>
      <c r="H734">
        <v>-1.15953721053128</v>
      </c>
      <c r="I734">
        <v>0.61332060746461303</v>
      </c>
      <c r="J734">
        <v>0.53206454113738499</v>
      </c>
    </row>
    <row r="735" spans="1:10" hidden="1" x14ac:dyDescent="0.2">
      <c r="A735" t="s">
        <v>206</v>
      </c>
      <c r="B735" t="s">
        <v>29</v>
      </c>
      <c r="C735">
        <v>1</v>
      </c>
      <c r="D735" t="s">
        <v>210</v>
      </c>
      <c r="E735">
        <v>-0.12939943366666601</v>
      </c>
      <c r="F735">
        <v>0.39366752263058702</v>
      </c>
      <c r="G735">
        <v>-0.328702334401339</v>
      </c>
      <c r="H735">
        <v>-0.93859461547144796</v>
      </c>
      <c r="I735">
        <v>0.67979574813811605</v>
      </c>
      <c r="J735">
        <v>0.74501359554854196</v>
      </c>
    </row>
    <row r="736" spans="1:10" hidden="1" x14ac:dyDescent="0.2">
      <c r="A736" t="s">
        <v>206</v>
      </c>
      <c r="B736" t="s">
        <v>29</v>
      </c>
      <c r="C736">
        <v>1</v>
      </c>
      <c r="D736" t="s">
        <v>207</v>
      </c>
      <c r="E736">
        <v>-0.188170508222222</v>
      </c>
      <c r="F736">
        <v>0.39366752263058802</v>
      </c>
      <c r="G736">
        <v>-0.47799347775711398</v>
      </c>
      <c r="H736">
        <v>-0.99736569002700404</v>
      </c>
      <c r="I736">
        <v>0.62102467358255997</v>
      </c>
      <c r="J736">
        <v>0.63664931877009401</v>
      </c>
    </row>
    <row r="737" spans="1:10" hidden="1" x14ac:dyDescent="0.2">
      <c r="A737" t="s">
        <v>206</v>
      </c>
      <c r="B737" t="s">
        <v>29</v>
      </c>
      <c r="C737">
        <v>1</v>
      </c>
      <c r="D737" t="s">
        <v>219</v>
      </c>
      <c r="E737">
        <v>-0.69522485208333296</v>
      </c>
      <c r="F737">
        <v>0.451002805275102</v>
      </c>
      <c r="G737">
        <v>-1.54150893065789</v>
      </c>
      <c r="H737">
        <v>-1.6222743952368199</v>
      </c>
      <c r="I737">
        <v>0.23182469107015899</v>
      </c>
      <c r="J737">
        <v>0.135277283179249</v>
      </c>
    </row>
    <row r="738" spans="1:10" hidden="1" x14ac:dyDescent="0.2">
      <c r="A738" t="s">
        <v>206</v>
      </c>
      <c r="B738" t="s">
        <v>18</v>
      </c>
      <c r="C738">
        <v>0</v>
      </c>
      <c r="D738" t="s">
        <v>215</v>
      </c>
      <c r="E738">
        <v>0.1156133565</v>
      </c>
      <c r="F738">
        <v>0.93466213490850503</v>
      </c>
      <c r="G738">
        <v>0.12369534635241999</v>
      </c>
      <c r="H738">
        <v>-1.7499800729685</v>
      </c>
      <c r="I738">
        <v>1.9812067859685001</v>
      </c>
      <c r="J738">
        <v>0.90192683273339602</v>
      </c>
    </row>
    <row r="739" spans="1:10" hidden="1" x14ac:dyDescent="0.2">
      <c r="A739" t="s">
        <v>206</v>
      </c>
      <c r="B739" t="s">
        <v>18</v>
      </c>
      <c r="C739">
        <v>0</v>
      </c>
      <c r="D739" t="s">
        <v>211</v>
      </c>
      <c r="E739">
        <v>0.43488227728571499</v>
      </c>
      <c r="F739">
        <v>0.91781999623441402</v>
      </c>
      <c r="G739">
        <v>0.47382087889774499</v>
      </c>
      <c r="H739">
        <v>-1.39709410268964</v>
      </c>
      <c r="I739">
        <v>2.2668586572610701</v>
      </c>
      <c r="J739">
        <v>0.63716805439914703</v>
      </c>
    </row>
    <row r="740" spans="1:10" hidden="1" x14ac:dyDescent="0.2">
      <c r="A740" t="s">
        <v>206</v>
      </c>
      <c r="B740" t="s">
        <v>18</v>
      </c>
      <c r="C740">
        <v>0</v>
      </c>
      <c r="D740" t="s">
        <v>214</v>
      </c>
      <c r="E740">
        <v>0.13468987925000001</v>
      </c>
      <c r="F740">
        <v>0.90498272070782904</v>
      </c>
      <c r="G740">
        <v>0.148831437515904</v>
      </c>
      <c r="H740">
        <v>-1.67166319153137</v>
      </c>
      <c r="I740">
        <v>1.94104295003137</v>
      </c>
      <c r="J740">
        <v>0.88213370403368296</v>
      </c>
    </row>
    <row r="741" spans="1:10" hidden="1" x14ac:dyDescent="0.2">
      <c r="A741" t="s">
        <v>206</v>
      </c>
      <c r="B741" t="s">
        <v>18</v>
      </c>
      <c r="C741">
        <v>0</v>
      </c>
      <c r="D741" t="s">
        <v>210</v>
      </c>
      <c r="E741">
        <v>1.365881645E-2</v>
      </c>
      <c r="F741">
        <v>0.84894904311517805</v>
      </c>
      <c r="G741">
        <v>1.6089088692390299E-2</v>
      </c>
      <c r="H741">
        <v>-1.6808505657496799</v>
      </c>
      <c r="I741">
        <v>1.7081681986496799</v>
      </c>
      <c r="J741">
        <v>0.98721113362970303</v>
      </c>
    </row>
    <row r="742" spans="1:10" hidden="1" x14ac:dyDescent="0.2">
      <c r="A742" t="s">
        <v>206</v>
      </c>
      <c r="B742" t="s">
        <v>18</v>
      </c>
      <c r="C742">
        <v>0</v>
      </c>
      <c r="D742" t="s">
        <v>207</v>
      </c>
      <c r="E742">
        <v>2.2306272518518199E-2</v>
      </c>
      <c r="F742">
        <v>0.83888493924508201</v>
      </c>
      <c r="G742">
        <v>2.65903838237837E-2</v>
      </c>
      <c r="H742">
        <v>-1.6521150742806701</v>
      </c>
      <c r="I742">
        <v>1.6967276193177001</v>
      </c>
      <c r="J742">
        <v>0.97886548494864001</v>
      </c>
    </row>
    <row r="743" spans="1:10" hidden="1" x14ac:dyDescent="0.2">
      <c r="A743" t="s">
        <v>206</v>
      </c>
      <c r="B743" t="s">
        <v>18</v>
      </c>
      <c r="C743">
        <v>0</v>
      </c>
      <c r="D743" t="s">
        <v>219</v>
      </c>
      <c r="E743">
        <v>0.28419195625000099</v>
      </c>
      <c r="F743">
        <v>0.99135890056815201</v>
      </c>
      <c r="G743">
        <v>0.286669092381305</v>
      </c>
      <c r="H743">
        <v>-1.69456869112136</v>
      </c>
      <c r="I743">
        <v>2.2629526036213701</v>
      </c>
      <c r="J743">
        <v>0.77525033754108696</v>
      </c>
    </row>
    <row r="744" spans="1:10" hidden="1" x14ac:dyDescent="0.2">
      <c r="A744" t="s">
        <v>206</v>
      </c>
      <c r="B744" t="s">
        <v>18</v>
      </c>
      <c r="C744">
        <v>1</v>
      </c>
      <c r="D744" t="s">
        <v>215</v>
      </c>
      <c r="E744">
        <v>1.4830452973333299</v>
      </c>
      <c r="F744">
        <v>0.70330745283210205</v>
      </c>
      <c r="G744">
        <v>2.1086728021455698</v>
      </c>
      <c r="H744">
        <v>3.73761236200136E-2</v>
      </c>
      <c r="I744">
        <v>2.9287144710466499</v>
      </c>
      <c r="J744">
        <v>4.4761277595002098E-2</v>
      </c>
    </row>
    <row r="745" spans="1:10" hidden="1" x14ac:dyDescent="0.2">
      <c r="A745" t="s">
        <v>206</v>
      </c>
      <c r="B745" t="s">
        <v>18</v>
      </c>
      <c r="C745">
        <v>1</v>
      </c>
      <c r="D745" t="s">
        <v>211</v>
      </c>
      <c r="E745">
        <v>-0.62817549016666596</v>
      </c>
      <c r="F745">
        <v>0.55601336158022097</v>
      </c>
      <c r="G745">
        <v>-1.12978488211391</v>
      </c>
      <c r="H745">
        <v>-1.7710773231735899</v>
      </c>
      <c r="I745">
        <v>0.51472634284026197</v>
      </c>
      <c r="J745">
        <v>0.26888252245417898</v>
      </c>
    </row>
    <row r="746" spans="1:10" hidden="1" x14ac:dyDescent="0.2">
      <c r="A746" t="s">
        <v>206</v>
      </c>
      <c r="B746" t="s">
        <v>18</v>
      </c>
      <c r="C746">
        <v>1</v>
      </c>
      <c r="D746" t="s">
        <v>214</v>
      </c>
      <c r="E746">
        <v>-0.68673559806666695</v>
      </c>
      <c r="F746">
        <v>0.44481068926417699</v>
      </c>
      <c r="G746">
        <v>-1.5438828576774799</v>
      </c>
      <c r="H746">
        <v>-1.60105706447221</v>
      </c>
      <c r="I746">
        <v>0.22758586833887601</v>
      </c>
      <c r="J746">
        <v>0.13470220873927399</v>
      </c>
    </row>
    <row r="747" spans="1:10" hidden="1" x14ac:dyDescent="0.2">
      <c r="A747" t="s">
        <v>206</v>
      </c>
      <c r="B747" t="s">
        <v>18</v>
      </c>
      <c r="C747">
        <v>1</v>
      </c>
      <c r="D747" t="s">
        <v>210</v>
      </c>
      <c r="E747">
        <v>-0.71800244255555501</v>
      </c>
      <c r="F747">
        <v>0.40605474721568402</v>
      </c>
      <c r="G747">
        <v>-1.76824048352813</v>
      </c>
      <c r="H747">
        <v>-1.55265992915808</v>
      </c>
      <c r="I747">
        <v>0.11665504404697399</v>
      </c>
      <c r="J747">
        <v>8.8754573950156998E-2</v>
      </c>
    </row>
    <row r="748" spans="1:10" hidden="1" x14ac:dyDescent="0.2">
      <c r="A748" t="s">
        <v>206</v>
      </c>
      <c r="B748" t="s">
        <v>18</v>
      </c>
      <c r="C748">
        <v>1</v>
      </c>
      <c r="D748" t="s">
        <v>207</v>
      </c>
      <c r="E748">
        <v>-0.36810333388888899</v>
      </c>
      <c r="F748">
        <v>0.40605474721568402</v>
      </c>
      <c r="G748">
        <v>-0.90653621565311604</v>
      </c>
      <c r="H748">
        <v>-1.20276082049142</v>
      </c>
      <c r="I748">
        <v>0.46655415271363998</v>
      </c>
      <c r="J748">
        <v>0.37297741287772701</v>
      </c>
    </row>
    <row r="749" spans="1:10" hidden="1" x14ac:dyDescent="0.2">
      <c r="A749" t="s">
        <v>206</v>
      </c>
      <c r="B749" t="s">
        <v>18</v>
      </c>
      <c r="C749">
        <v>1</v>
      </c>
      <c r="D749" t="s">
        <v>219</v>
      </c>
      <c r="E749">
        <v>-1.0502230211666701</v>
      </c>
      <c r="F749">
        <v>0.465194153853008</v>
      </c>
      <c r="G749">
        <v>-2.25760150351871</v>
      </c>
      <c r="H749">
        <v>-2.0064432990960901</v>
      </c>
      <c r="I749">
        <v>-9.4002743237246694E-2</v>
      </c>
      <c r="J749">
        <v>3.25955985599111E-2</v>
      </c>
    </row>
    <row r="750" spans="1:10" hidden="1" x14ac:dyDescent="0.2">
      <c r="A750" t="s">
        <v>206</v>
      </c>
      <c r="B750" t="s">
        <v>14</v>
      </c>
      <c r="C750">
        <v>0</v>
      </c>
      <c r="D750" t="s">
        <v>215</v>
      </c>
      <c r="E750">
        <v>0.619039969999999</v>
      </c>
      <c r="F750">
        <v>0.88093677679957505</v>
      </c>
      <c r="G750">
        <v>0.70270646691463901</v>
      </c>
      <c r="H750">
        <v>-1.1393171958600701</v>
      </c>
      <c r="I750">
        <v>2.3773971358600701</v>
      </c>
      <c r="J750">
        <v>0.48467314664595401</v>
      </c>
    </row>
    <row r="751" spans="1:10" hidden="1" x14ac:dyDescent="0.2">
      <c r="A751" t="s">
        <v>206</v>
      </c>
      <c r="B751" t="s">
        <v>14</v>
      </c>
      <c r="C751">
        <v>0</v>
      </c>
      <c r="D751" t="s">
        <v>211</v>
      </c>
      <c r="E751">
        <v>1.1609451775714299</v>
      </c>
      <c r="F751">
        <v>0.86506274189024501</v>
      </c>
      <c r="G751">
        <v>1.34203581006697</v>
      </c>
      <c r="H751">
        <v>-0.56572728199752897</v>
      </c>
      <c r="I751">
        <v>2.8876176371403899</v>
      </c>
      <c r="J751">
        <v>0.18411472404773399</v>
      </c>
    </row>
    <row r="752" spans="1:10" hidden="1" x14ac:dyDescent="0.2">
      <c r="A752" t="s">
        <v>206</v>
      </c>
      <c r="B752" t="s">
        <v>14</v>
      </c>
      <c r="C752">
        <v>0</v>
      </c>
      <c r="D752" t="s">
        <v>214</v>
      </c>
      <c r="E752">
        <v>0.98908253549999903</v>
      </c>
      <c r="F752">
        <v>0.85296336640159898</v>
      </c>
      <c r="G752">
        <v>1.1595838396584901</v>
      </c>
      <c r="H752">
        <v>-0.71343946951513304</v>
      </c>
      <c r="I752">
        <v>2.6916045405151299</v>
      </c>
      <c r="J752">
        <v>0.25033409220275799</v>
      </c>
    </row>
    <row r="753" spans="1:10" hidden="1" x14ac:dyDescent="0.2">
      <c r="A753" t="s">
        <v>206</v>
      </c>
      <c r="B753" t="s">
        <v>14</v>
      </c>
      <c r="C753">
        <v>0</v>
      </c>
      <c r="D753" t="s">
        <v>210</v>
      </c>
      <c r="E753">
        <v>0.75099979054999999</v>
      </c>
      <c r="F753">
        <v>0.80015056326442202</v>
      </c>
      <c r="G753">
        <v>0.93857309490116603</v>
      </c>
      <c r="H753">
        <v>-0.84610741820383295</v>
      </c>
      <c r="I753">
        <v>2.3481069993038299</v>
      </c>
      <c r="J753">
        <v>0.35132127438202498</v>
      </c>
    </row>
    <row r="754" spans="1:10" hidden="1" x14ac:dyDescent="0.2">
      <c r="A754" t="s">
        <v>206</v>
      </c>
      <c r="B754" t="s">
        <v>14</v>
      </c>
      <c r="C754">
        <v>0</v>
      </c>
      <c r="D754" t="s">
        <v>207</v>
      </c>
      <c r="E754">
        <v>0.27898935692592602</v>
      </c>
      <c r="F754">
        <v>0.79066495462192998</v>
      </c>
      <c r="G754">
        <v>0.35285408224439302</v>
      </c>
      <c r="H754">
        <v>-1.29918449773448</v>
      </c>
      <c r="I754">
        <v>1.8571632115863299</v>
      </c>
      <c r="J754">
        <v>0.72530552264694204</v>
      </c>
    </row>
    <row r="755" spans="1:10" hidden="1" x14ac:dyDescent="0.2">
      <c r="A755" t="s">
        <v>206</v>
      </c>
      <c r="B755" t="s">
        <v>14</v>
      </c>
      <c r="C755">
        <v>0</v>
      </c>
      <c r="D755" t="s">
        <v>219</v>
      </c>
      <c r="E755">
        <v>0.78949845650000094</v>
      </c>
      <c r="F755">
        <v>0.93437455300740102</v>
      </c>
      <c r="G755">
        <v>0.84494858508175497</v>
      </c>
      <c r="H755">
        <v>-1.0755209570914199</v>
      </c>
      <c r="I755">
        <v>2.6545178700914298</v>
      </c>
      <c r="J755">
        <v>0.40114677410133998</v>
      </c>
    </row>
    <row r="756" spans="1:10" hidden="1" x14ac:dyDescent="0.2">
      <c r="A756" t="s">
        <v>206</v>
      </c>
      <c r="B756" t="s">
        <v>14</v>
      </c>
      <c r="C756">
        <v>1</v>
      </c>
      <c r="D756" t="s">
        <v>215</v>
      </c>
      <c r="E756">
        <v>1.7279732483333301</v>
      </c>
      <c r="F756">
        <v>0.774122038584108</v>
      </c>
      <c r="G756">
        <v>2.2321716243782999</v>
      </c>
      <c r="H756">
        <v>0.136742608921464</v>
      </c>
      <c r="I756">
        <v>3.3192038877451999</v>
      </c>
      <c r="J756">
        <v>3.4433980654071897E-2</v>
      </c>
    </row>
    <row r="757" spans="1:10" hidden="1" x14ac:dyDescent="0.2">
      <c r="A757" t="s">
        <v>206</v>
      </c>
      <c r="B757" t="s">
        <v>14</v>
      </c>
      <c r="C757">
        <v>1</v>
      </c>
      <c r="D757" t="s">
        <v>211</v>
      </c>
      <c r="E757">
        <v>-0.39842157766666603</v>
      </c>
      <c r="F757">
        <v>0.61199720721463302</v>
      </c>
      <c r="G757">
        <v>-0.65101862062409199</v>
      </c>
      <c r="H757">
        <v>-1.65639985346357</v>
      </c>
      <c r="I757">
        <v>0.85955669813023305</v>
      </c>
      <c r="J757">
        <v>0.52074716353344197</v>
      </c>
    </row>
    <row r="758" spans="1:10" hidden="1" x14ac:dyDescent="0.2">
      <c r="A758" t="s">
        <v>206</v>
      </c>
      <c r="B758" t="s">
        <v>14</v>
      </c>
      <c r="C758">
        <v>1</v>
      </c>
      <c r="D758" t="s">
        <v>214</v>
      </c>
      <c r="E758">
        <v>-0.69140295386666595</v>
      </c>
      <c r="F758">
        <v>0.48959776577170599</v>
      </c>
      <c r="G758">
        <v>-1.4121856801713</v>
      </c>
      <c r="H758">
        <v>-1.6977855745041901</v>
      </c>
      <c r="I758">
        <v>0.31497966677085398</v>
      </c>
      <c r="J758">
        <v>0.16975311324959899</v>
      </c>
    </row>
    <row r="759" spans="1:10" hidden="1" x14ac:dyDescent="0.2">
      <c r="A759" t="s">
        <v>206</v>
      </c>
      <c r="B759" t="s">
        <v>14</v>
      </c>
      <c r="C759">
        <v>1</v>
      </c>
      <c r="D759" t="s">
        <v>210</v>
      </c>
      <c r="E759">
        <v>-0.29050855111111101</v>
      </c>
      <c r="F759">
        <v>0.44693956736215701</v>
      </c>
      <c r="G759">
        <v>-0.64999514996109298</v>
      </c>
      <c r="H759">
        <v>-1.20920598911833</v>
      </c>
      <c r="I759">
        <v>0.62818888689611097</v>
      </c>
      <c r="J759">
        <v>0.52139757285331101</v>
      </c>
    </row>
    <row r="760" spans="1:10" hidden="1" x14ac:dyDescent="0.2">
      <c r="A760" t="s">
        <v>206</v>
      </c>
      <c r="B760" t="s">
        <v>14</v>
      </c>
      <c r="C760">
        <v>1</v>
      </c>
      <c r="D760" t="s">
        <v>207</v>
      </c>
      <c r="E760">
        <v>-0.362664120888889</v>
      </c>
      <c r="F760">
        <v>0.44693956736215701</v>
      </c>
      <c r="G760">
        <v>-0.81143883283670104</v>
      </c>
      <c r="H760">
        <v>-1.28136155889611</v>
      </c>
      <c r="I760">
        <v>0.55603331711833404</v>
      </c>
      <c r="J760">
        <v>0.424480267249636</v>
      </c>
    </row>
    <row r="761" spans="1:10" hidden="1" x14ac:dyDescent="0.2">
      <c r="A761" t="s">
        <v>206</v>
      </c>
      <c r="B761" t="s">
        <v>14</v>
      </c>
      <c r="C761">
        <v>1</v>
      </c>
      <c r="D761" t="s">
        <v>219</v>
      </c>
      <c r="E761">
        <v>-0.87939951216666601</v>
      </c>
      <c r="F761">
        <v>0.51203359962697503</v>
      </c>
      <c r="G761">
        <v>-1.7174644648463</v>
      </c>
      <c r="H761">
        <v>-1.93189964977419</v>
      </c>
      <c r="I761">
        <v>0.173100625440858</v>
      </c>
      <c r="J761">
        <v>9.7784739294370898E-2</v>
      </c>
    </row>
    <row r="762" spans="1:10" hidden="1" x14ac:dyDescent="0.2">
      <c r="A762" t="s">
        <v>212</v>
      </c>
      <c r="B762" t="s">
        <v>252</v>
      </c>
      <c r="C762">
        <v>0</v>
      </c>
      <c r="D762" t="s">
        <v>213</v>
      </c>
      <c r="E762">
        <v>0.22634003555498899</v>
      </c>
      <c r="F762">
        <v>0.34355740699005399</v>
      </c>
      <c r="G762">
        <v>0.65881285325203698</v>
      </c>
      <c r="H762">
        <v>-0.45852913833650899</v>
      </c>
      <c r="I762">
        <v>0.91120920944648698</v>
      </c>
      <c r="J762">
        <v>0.51211738513230998</v>
      </c>
    </row>
    <row r="763" spans="1:10" hidden="1" x14ac:dyDescent="0.2">
      <c r="A763" t="s">
        <v>212</v>
      </c>
      <c r="B763" t="s">
        <v>252</v>
      </c>
      <c r="C763">
        <v>1</v>
      </c>
      <c r="D763" t="s">
        <v>213</v>
      </c>
      <c r="E763">
        <v>-6.4450239117646996E-2</v>
      </c>
      <c r="F763">
        <v>0.27273081413281802</v>
      </c>
      <c r="G763">
        <v>-0.23631447485160301</v>
      </c>
      <c r="H763">
        <v>-0.62144086880571303</v>
      </c>
      <c r="I763">
        <v>0.49254039057041898</v>
      </c>
      <c r="J763">
        <v>0.81479471401720605</v>
      </c>
    </row>
    <row r="764" spans="1:10" hidden="1" x14ac:dyDescent="0.2">
      <c r="A764" t="s">
        <v>212</v>
      </c>
      <c r="B764" t="s">
        <v>253</v>
      </c>
      <c r="C764">
        <v>0</v>
      </c>
      <c r="D764" t="s">
        <v>213</v>
      </c>
      <c r="E764">
        <v>0.14222065172505499</v>
      </c>
      <c r="F764">
        <v>0.29130140111159802</v>
      </c>
      <c r="G764">
        <v>0.48822508639623802</v>
      </c>
      <c r="H764">
        <v>-0.43847807830847202</v>
      </c>
      <c r="I764">
        <v>0.72291938175858295</v>
      </c>
      <c r="J764">
        <v>0.62687403144760101</v>
      </c>
    </row>
    <row r="765" spans="1:10" hidden="1" x14ac:dyDescent="0.2">
      <c r="A765" t="s">
        <v>212</v>
      </c>
      <c r="B765" t="s">
        <v>253</v>
      </c>
      <c r="C765">
        <v>1</v>
      </c>
      <c r="D765" t="s">
        <v>213</v>
      </c>
      <c r="E765">
        <v>-0.31362034889803903</v>
      </c>
      <c r="F765">
        <v>0.35335821862884698</v>
      </c>
      <c r="G765">
        <v>-0.88754225135896303</v>
      </c>
      <c r="H765">
        <v>-1.0352741060113999</v>
      </c>
      <c r="I765">
        <v>0.40803340821532502</v>
      </c>
      <c r="J765">
        <v>0.38184763246818798</v>
      </c>
    </row>
    <row r="766" spans="1:10" hidden="1" x14ac:dyDescent="0.2">
      <c r="A766" t="s">
        <v>212</v>
      </c>
      <c r="B766" t="s">
        <v>254</v>
      </c>
      <c r="C766">
        <v>0</v>
      </c>
      <c r="D766" t="s">
        <v>213</v>
      </c>
      <c r="E766">
        <v>0.256628801038433</v>
      </c>
      <c r="F766">
        <v>0.261693886810339</v>
      </c>
      <c r="G766">
        <v>0.980644997735171</v>
      </c>
      <c r="H766">
        <v>-0.26504842793611399</v>
      </c>
      <c r="I766">
        <v>0.77830603001298104</v>
      </c>
      <c r="J766">
        <v>0.33005156316309098</v>
      </c>
    </row>
    <row r="767" spans="1:10" hidden="1" x14ac:dyDescent="0.2">
      <c r="A767" t="s">
        <v>212</v>
      </c>
      <c r="B767" t="s">
        <v>254</v>
      </c>
      <c r="C767">
        <v>1</v>
      </c>
      <c r="D767" t="s">
        <v>213</v>
      </c>
      <c r="E767">
        <v>-0.33005838274902</v>
      </c>
      <c r="F767">
        <v>0.30060978402795702</v>
      </c>
      <c r="G767">
        <v>-1.0979628750816799</v>
      </c>
      <c r="H767">
        <v>-0.94398546476398004</v>
      </c>
      <c r="I767">
        <v>0.28386869926594099</v>
      </c>
      <c r="J767">
        <v>0.28095519384668599</v>
      </c>
    </row>
    <row r="768" spans="1:10" hidden="1" x14ac:dyDescent="0.2">
      <c r="A768" t="s">
        <v>212</v>
      </c>
      <c r="B768" t="s">
        <v>255</v>
      </c>
      <c r="C768">
        <v>0</v>
      </c>
      <c r="D768" t="s">
        <v>213</v>
      </c>
      <c r="E768">
        <v>3.9286089756836701E-2</v>
      </c>
      <c r="F768">
        <v>0.17527402915585699</v>
      </c>
      <c r="G768">
        <v>0.224140963416222</v>
      </c>
      <c r="H768">
        <v>-0.310116301547394</v>
      </c>
      <c r="I768">
        <v>0.38868848106106801</v>
      </c>
      <c r="J768">
        <v>0.82328244153348795</v>
      </c>
    </row>
    <row r="769" spans="1:10" hidden="1" x14ac:dyDescent="0.2">
      <c r="A769" t="s">
        <v>212</v>
      </c>
      <c r="B769" t="s">
        <v>255</v>
      </c>
      <c r="C769">
        <v>1</v>
      </c>
      <c r="D769" t="s">
        <v>213</v>
      </c>
      <c r="E769">
        <v>0.66199002004313701</v>
      </c>
      <c r="F769">
        <v>0.528641516262772</v>
      </c>
      <c r="G769">
        <v>1.2522475054987601</v>
      </c>
      <c r="H769">
        <v>-0.417639987877645</v>
      </c>
      <c r="I769">
        <v>1.74162002796392</v>
      </c>
      <c r="J769">
        <v>0.220154587870452</v>
      </c>
    </row>
    <row r="770" spans="1:10" hidden="1" x14ac:dyDescent="0.2">
      <c r="A770" t="s">
        <v>212</v>
      </c>
      <c r="B770" t="s">
        <v>26</v>
      </c>
      <c r="C770">
        <v>0</v>
      </c>
      <c r="D770" t="s">
        <v>213</v>
      </c>
      <c r="E770">
        <v>0.34419102038211402</v>
      </c>
      <c r="F770">
        <v>0.30707371303513498</v>
      </c>
      <c r="G770">
        <v>1.12087425843166</v>
      </c>
      <c r="H770">
        <v>-0.26794923883300897</v>
      </c>
      <c r="I770">
        <v>0.95633127959723796</v>
      </c>
      <c r="J770">
        <v>0.26606608388541197</v>
      </c>
    </row>
    <row r="771" spans="1:10" hidden="1" x14ac:dyDescent="0.2">
      <c r="A771" t="s">
        <v>212</v>
      </c>
      <c r="B771" t="s">
        <v>26</v>
      </c>
      <c r="C771">
        <v>1</v>
      </c>
      <c r="D771" t="s">
        <v>213</v>
      </c>
      <c r="E771">
        <v>-1.8137129494117599E-2</v>
      </c>
      <c r="F771">
        <v>0.31502190714846201</v>
      </c>
      <c r="G771">
        <v>-5.7574184786996503E-2</v>
      </c>
      <c r="H771">
        <v>-0.66149769359490695</v>
      </c>
      <c r="I771">
        <v>0.62522343460667196</v>
      </c>
      <c r="J771">
        <v>0.95446959197613801</v>
      </c>
    </row>
    <row r="772" spans="1:10" hidden="1" x14ac:dyDescent="0.2">
      <c r="A772" t="s">
        <v>212</v>
      </c>
      <c r="B772" t="s">
        <v>17</v>
      </c>
      <c r="C772">
        <v>0</v>
      </c>
      <c r="D772" t="s">
        <v>213</v>
      </c>
      <c r="E772">
        <v>0.22557059892461201</v>
      </c>
      <c r="F772">
        <v>0.31067996378555701</v>
      </c>
      <c r="G772">
        <v>0.72605454235313804</v>
      </c>
      <c r="H772">
        <v>-0.39375858977372602</v>
      </c>
      <c r="I772">
        <v>0.84489978762295004</v>
      </c>
      <c r="J772">
        <v>0.47015900166493901</v>
      </c>
    </row>
    <row r="773" spans="1:10" hidden="1" x14ac:dyDescent="0.2">
      <c r="A773" t="s">
        <v>212</v>
      </c>
      <c r="B773" t="s">
        <v>17</v>
      </c>
      <c r="C773">
        <v>1</v>
      </c>
      <c r="D773" t="s">
        <v>213</v>
      </c>
      <c r="E773">
        <v>0.44274208833333301</v>
      </c>
      <c r="F773">
        <v>0.235158870053673</v>
      </c>
      <c r="G773">
        <v>1.8827360763907399</v>
      </c>
      <c r="H773">
        <v>-3.7516394832205799E-2</v>
      </c>
      <c r="I773">
        <v>0.92300057149887305</v>
      </c>
      <c r="J773">
        <v>6.9466061179715599E-2</v>
      </c>
    </row>
    <row r="774" spans="1:10" hidden="1" x14ac:dyDescent="0.2">
      <c r="A774" t="s">
        <v>212</v>
      </c>
      <c r="B774" t="s">
        <v>21</v>
      </c>
      <c r="C774">
        <v>0</v>
      </c>
      <c r="D774" t="s">
        <v>213</v>
      </c>
      <c r="E774">
        <v>0.12330524191943799</v>
      </c>
      <c r="F774">
        <v>0.28474583228123002</v>
      </c>
      <c r="G774">
        <v>0.43303616046487198</v>
      </c>
      <c r="H774">
        <v>-0.44432520049200602</v>
      </c>
      <c r="I774">
        <v>0.69093568433088304</v>
      </c>
      <c r="J774">
        <v>0.66628299355734</v>
      </c>
    </row>
    <row r="775" spans="1:10" hidden="1" x14ac:dyDescent="0.2">
      <c r="A775" t="s">
        <v>212</v>
      </c>
      <c r="B775" t="s">
        <v>21</v>
      </c>
      <c r="C775">
        <v>1</v>
      </c>
      <c r="D775" t="s">
        <v>213</v>
      </c>
      <c r="E775">
        <v>0.59250782825882398</v>
      </c>
      <c r="F775">
        <v>0.341917724526418</v>
      </c>
      <c r="G775">
        <v>1.7328959154705801</v>
      </c>
      <c r="H775">
        <v>-0.105781322862674</v>
      </c>
      <c r="I775">
        <v>1.29079697938032</v>
      </c>
      <c r="J775">
        <v>9.3383942700990902E-2</v>
      </c>
    </row>
    <row r="776" spans="1:10" hidden="1" x14ac:dyDescent="0.2">
      <c r="A776" t="s">
        <v>212</v>
      </c>
      <c r="B776" t="s">
        <v>29</v>
      </c>
      <c r="C776">
        <v>0</v>
      </c>
      <c r="D776" t="s">
        <v>213</v>
      </c>
      <c r="E776">
        <v>0.112997554331116</v>
      </c>
      <c r="F776">
        <v>0.29430909430522001</v>
      </c>
      <c r="G776">
        <v>0.38394176910459099</v>
      </c>
      <c r="H776">
        <v>-0.47369690250359298</v>
      </c>
      <c r="I776">
        <v>0.69969201116582502</v>
      </c>
      <c r="J776">
        <v>0.70215312115407302</v>
      </c>
    </row>
    <row r="777" spans="1:10" hidden="1" x14ac:dyDescent="0.2">
      <c r="A777" t="s">
        <v>212</v>
      </c>
      <c r="B777" t="s">
        <v>29</v>
      </c>
      <c r="C777">
        <v>1</v>
      </c>
      <c r="D777" t="s">
        <v>213</v>
      </c>
      <c r="E777">
        <v>-0.37038177480784301</v>
      </c>
      <c r="F777">
        <v>0.210455394575676</v>
      </c>
      <c r="G777">
        <v>-1.75990630011939</v>
      </c>
      <c r="H777">
        <v>-0.80018903042975498</v>
      </c>
      <c r="I777">
        <v>5.9425480814068198E-2</v>
      </c>
      <c r="J777">
        <v>8.8618355685698397E-2</v>
      </c>
    </row>
    <row r="778" spans="1:10" hidden="1" x14ac:dyDescent="0.2">
      <c r="A778" t="s">
        <v>212</v>
      </c>
      <c r="B778" t="s">
        <v>18</v>
      </c>
      <c r="C778">
        <v>0</v>
      </c>
      <c r="D778" t="s">
        <v>213</v>
      </c>
      <c r="E778">
        <v>3.6604242495195803E-2</v>
      </c>
      <c r="F778">
        <v>0.26005881367511902</v>
      </c>
      <c r="G778">
        <v>0.14075370866270301</v>
      </c>
      <c r="H778">
        <v>-0.48181352775546199</v>
      </c>
      <c r="I778">
        <v>0.55502201274585306</v>
      </c>
      <c r="J778">
        <v>0.88845756364780704</v>
      </c>
    </row>
    <row r="779" spans="1:10" hidden="1" x14ac:dyDescent="0.2">
      <c r="A779" t="s">
        <v>212</v>
      </c>
      <c r="B779" t="s">
        <v>18</v>
      </c>
      <c r="C779">
        <v>1</v>
      </c>
      <c r="D779" t="s">
        <v>213</v>
      </c>
      <c r="E779">
        <v>-0.15668482345490201</v>
      </c>
      <c r="F779">
        <v>0.25729773248253202</v>
      </c>
      <c r="G779">
        <v>-0.60896309478957</v>
      </c>
      <c r="H779">
        <v>-0.68215689557274195</v>
      </c>
      <c r="I779">
        <v>0.36878724866293799</v>
      </c>
      <c r="J779">
        <v>0.54713302289653198</v>
      </c>
    </row>
    <row r="780" spans="1:10" hidden="1" x14ac:dyDescent="0.2">
      <c r="A780" t="s">
        <v>212</v>
      </c>
      <c r="B780" t="s">
        <v>14</v>
      </c>
      <c r="C780">
        <v>0</v>
      </c>
      <c r="D780" t="s">
        <v>213</v>
      </c>
      <c r="E780">
        <v>-9.44652140820397E-2</v>
      </c>
      <c r="F780">
        <v>0.25459950277136301</v>
      </c>
      <c r="G780">
        <v>-0.37103455840945498</v>
      </c>
      <c r="H780">
        <v>-0.60200004694698095</v>
      </c>
      <c r="I780">
        <v>0.41306961878290099</v>
      </c>
      <c r="J780">
        <v>0.71170129433037599</v>
      </c>
    </row>
    <row r="781" spans="1:10" hidden="1" x14ac:dyDescent="0.2">
      <c r="A781" t="s">
        <v>212</v>
      </c>
      <c r="B781" t="s">
        <v>14</v>
      </c>
      <c r="C781">
        <v>1</v>
      </c>
      <c r="D781" t="s">
        <v>213</v>
      </c>
      <c r="E781">
        <v>-7.2209287580392106E-2</v>
      </c>
      <c r="F781">
        <v>0.272828589034457</v>
      </c>
      <c r="G781">
        <v>-0.26466906505634702</v>
      </c>
      <c r="H781">
        <v>-0.62939960025699404</v>
      </c>
      <c r="I781">
        <v>0.484981025096209</v>
      </c>
      <c r="J781">
        <v>0.79307438499098604</v>
      </c>
    </row>
    <row r="782" spans="1:10" hidden="1" x14ac:dyDescent="0.2">
      <c r="A782" t="s">
        <v>216</v>
      </c>
      <c r="B782" t="s">
        <v>252</v>
      </c>
      <c r="C782">
        <v>0</v>
      </c>
      <c r="D782" t="s">
        <v>217</v>
      </c>
      <c r="E782">
        <v>-0.426028142117855</v>
      </c>
      <c r="F782">
        <v>0.343517070446894</v>
      </c>
      <c r="G782">
        <v>-1.2401949677889901</v>
      </c>
      <c r="H782">
        <v>-1.1108169065801601</v>
      </c>
      <c r="I782">
        <v>0.25876062234444702</v>
      </c>
      <c r="J782">
        <v>0.218929808813494</v>
      </c>
    </row>
    <row r="783" spans="1:10" hidden="1" x14ac:dyDescent="0.2">
      <c r="A783" t="s">
        <v>216</v>
      </c>
      <c r="B783" t="s">
        <v>252</v>
      </c>
      <c r="C783">
        <v>1</v>
      </c>
      <c r="D783" t="s">
        <v>217</v>
      </c>
      <c r="E783">
        <v>-0.42128016018077002</v>
      </c>
      <c r="F783">
        <v>0.27328974155336799</v>
      </c>
      <c r="G783">
        <v>-1.5415147227489401</v>
      </c>
      <c r="H783">
        <v>-0.97865826284106305</v>
      </c>
      <c r="I783">
        <v>0.136097942479524</v>
      </c>
      <c r="J783">
        <v>0.13333881359258901</v>
      </c>
    </row>
    <row r="784" spans="1:10" hidden="1" x14ac:dyDescent="0.2">
      <c r="A784" t="s">
        <v>216</v>
      </c>
      <c r="B784" t="s">
        <v>253</v>
      </c>
      <c r="C784">
        <v>0</v>
      </c>
      <c r="D784" t="s">
        <v>217</v>
      </c>
      <c r="E784">
        <v>-0.20574211304276099</v>
      </c>
      <c r="F784">
        <v>0.29296228354853698</v>
      </c>
      <c r="G784">
        <v>-0.70228191339406498</v>
      </c>
      <c r="H784">
        <v>-0.78975175170283396</v>
      </c>
      <c r="I784">
        <v>0.37826752561731197</v>
      </c>
      <c r="J784">
        <v>0.48476762013789498</v>
      </c>
    </row>
    <row r="785" spans="1:10" hidden="1" x14ac:dyDescent="0.2">
      <c r="A785" t="s">
        <v>216</v>
      </c>
      <c r="B785" t="s">
        <v>253</v>
      </c>
      <c r="C785">
        <v>1</v>
      </c>
      <c r="D785" t="s">
        <v>217</v>
      </c>
      <c r="E785">
        <v>-0.20216783795384599</v>
      </c>
      <c r="F785">
        <v>0.35558808407760201</v>
      </c>
      <c r="G785">
        <v>-0.568545030068347</v>
      </c>
      <c r="H785">
        <v>-0.92739451680845297</v>
      </c>
      <c r="I785">
        <v>0.52305884090076005</v>
      </c>
      <c r="J785">
        <v>0.57376092092925202</v>
      </c>
    </row>
    <row r="786" spans="1:10" hidden="1" x14ac:dyDescent="0.2">
      <c r="A786" t="s">
        <v>216</v>
      </c>
      <c r="B786" t="s">
        <v>254</v>
      </c>
      <c r="C786">
        <v>0</v>
      </c>
      <c r="D786" t="s">
        <v>217</v>
      </c>
      <c r="E786">
        <v>2.04567041102773E-2</v>
      </c>
      <c r="F786">
        <v>0.265393695398914</v>
      </c>
      <c r="G786">
        <v>7.7080595601673296E-2</v>
      </c>
      <c r="H786">
        <v>-0.50859595848921502</v>
      </c>
      <c r="I786">
        <v>0.54950936670977002</v>
      </c>
      <c r="J786">
        <v>0.93877322795326001</v>
      </c>
    </row>
    <row r="787" spans="1:10" hidden="1" x14ac:dyDescent="0.2">
      <c r="A787" t="s">
        <v>216</v>
      </c>
      <c r="B787" t="s">
        <v>254</v>
      </c>
      <c r="C787">
        <v>1</v>
      </c>
      <c r="D787" t="s">
        <v>217</v>
      </c>
      <c r="E787">
        <v>0.154192172642308</v>
      </c>
      <c r="F787">
        <v>0.33797095862166499</v>
      </c>
      <c r="G787">
        <v>0.45622905965395499</v>
      </c>
      <c r="H787">
        <v>-0.535104141958062</v>
      </c>
      <c r="I787">
        <v>0.843488487242677</v>
      </c>
      <c r="J787">
        <v>0.65140560217858201</v>
      </c>
    </row>
    <row r="788" spans="1:10" hidden="1" x14ac:dyDescent="0.2">
      <c r="A788" t="s">
        <v>216</v>
      </c>
      <c r="B788" t="s">
        <v>255</v>
      </c>
      <c r="C788">
        <v>0</v>
      </c>
      <c r="D788" t="s">
        <v>217</v>
      </c>
      <c r="E788">
        <v>-0.36643511173068299</v>
      </c>
      <c r="F788">
        <v>0.17128557070526801</v>
      </c>
      <c r="G788">
        <v>-2.1393227124847001</v>
      </c>
      <c r="H788">
        <v>-0.70788665642652004</v>
      </c>
      <c r="I788">
        <v>-2.4983567034845899E-2</v>
      </c>
      <c r="J788">
        <v>3.5800568209124202E-2</v>
      </c>
    </row>
    <row r="789" spans="1:10" hidden="1" x14ac:dyDescent="0.2">
      <c r="A789" t="s">
        <v>216</v>
      </c>
      <c r="B789" t="s">
        <v>255</v>
      </c>
      <c r="C789">
        <v>1</v>
      </c>
      <c r="D789" t="s">
        <v>217</v>
      </c>
      <c r="E789">
        <v>0.10392450820384599</v>
      </c>
      <c r="F789">
        <v>0.54013849037591</v>
      </c>
      <c r="G789">
        <v>0.19240344847766699</v>
      </c>
      <c r="H789">
        <v>-0.997695205834078</v>
      </c>
      <c r="I789">
        <v>1.20554422224177</v>
      </c>
      <c r="J789">
        <v>0.84868109194676</v>
      </c>
    </row>
    <row r="790" spans="1:10" hidden="1" x14ac:dyDescent="0.2">
      <c r="A790" t="s">
        <v>216</v>
      </c>
      <c r="B790" t="s">
        <v>26</v>
      </c>
      <c r="C790">
        <v>0</v>
      </c>
      <c r="D790" t="s">
        <v>217</v>
      </c>
      <c r="E790">
        <v>-0.39878504167667</v>
      </c>
      <c r="F790">
        <v>0.30849693350357499</v>
      </c>
      <c r="G790">
        <v>-1.29267100696172</v>
      </c>
      <c r="H790">
        <v>-1.01376243904296</v>
      </c>
      <c r="I790">
        <v>0.21619235568961701</v>
      </c>
      <c r="J790">
        <v>0.200257814568394</v>
      </c>
    </row>
    <row r="791" spans="1:10" hidden="1" x14ac:dyDescent="0.2">
      <c r="A791" t="s">
        <v>216</v>
      </c>
      <c r="B791" t="s">
        <v>26</v>
      </c>
      <c r="C791">
        <v>1</v>
      </c>
      <c r="D791" t="s">
        <v>217</v>
      </c>
      <c r="E791">
        <v>-7.9483617923077707E-3</v>
      </c>
      <c r="F791">
        <v>0.31302083025334299</v>
      </c>
      <c r="G791">
        <v>-2.5392437256890499E-2</v>
      </c>
      <c r="H791">
        <v>-0.64635855409616805</v>
      </c>
      <c r="I791">
        <v>0.63046183051155302</v>
      </c>
      <c r="J791">
        <v>0.97990469936556601</v>
      </c>
    </row>
    <row r="792" spans="1:10" hidden="1" x14ac:dyDescent="0.2">
      <c r="A792" t="s">
        <v>216</v>
      </c>
      <c r="B792" t="s">
        <v>17</v>
      </c>
      <c r="C792">
        <v>0</v>
      </c>
      <c r="D792" t="s">
        <v>217</v>
      </c>
      <c r="E792">
        <v>-0.58408453453188403</v>
      </c>
      <c r="F792">
        <v>0.30651145340890501</v>
      </c>
      <c r="G792">
        <v>-1.9055879577611701</v>
      </c>
      <c r="H792">
        <v>-1.1951039496671101</v>
      </c>
      <c r="I792">
        <v>2.6934880603346499E-2</v>
      </c>
      <c r="J792">
        <v>6.0696601019630599E-2</v>
      </c>
    </row>
    <row r="793" spans="1:10" hidden="1" x14ac:dyDescent="0.2">
      <c r="A793" t="s">
        <v>216</v>
      </c>
      <c r="B793" t="s">
        <v>17</v>
      </c>
      <c r="C793">
        <v>1</v>
      </c>
      <c r="D793" t="s">
        <v>217</v>
      </c>
      <c r="E793">
        <v>0.47370892763461597</v>
      </c>
      <c r="F793">
        <v>0.23350549097996701</v>
      </c>
      <c r="G793">
        <v>2.02868431764312</v>
      </c>
      <c r="H793">
        <v>-2.52866102642241E-3</v>
      </c>
      <c r="I793">
        <v>0.94994651629565396</v>
      </c>
      <c r="J793">
        <v>5.1154727362625697E-2</v>
      </c>
    </row>
    <row r="794" spans="1:10" hidden="1" x14ac:dyDescent="0.2">
      <c r="A794" t="s">
        <v>216</v>
      </c>
      <c r="B794" t="s">
        <v>21</v>
      </c>
      <c r="C794">
        <v>0</v>
      </c>
      <c r="D794" t="s">
        <v>217</v>
      </c>
      <c r="E794">
        <v>-0.53888344316954295</v>
      </c>
      <c r="F794">
        <v>0.28013883082247298</v>
      </c>
      <c r="G794">
        <v>-1.9236299430086401</v>
      </c>
      <c r="H794">
        <v>-1.0973299960214</v>
      </c>
      <c r="I794">
        <v>1.9563109682311799E-2</v>
      </c>
      <c r="J794">
        <v>5.8354819757860901E-2</v>
      </c>
    </row>
    <row r="795" spans="1:10" hidden="1" x14ac:dyDescent="0.2">
      <c r="A795" t="s">
        <v>216</v>
      </c>
      <c r="B795" t="s">
        <v>21</v>
      </c>
      <c r="C795">
        <v>1</v>
      </c>
      <c r="D795" t="s">
        <v>217</v>
      </c>
      <c r="E795">
        <v>0.66999698712692302</v>
      </c>
      <c r="F795">
        <v>0.33536563489304</v>
      </c>
      <c r="G795">
        <v>1.99781050118808</v>
      </c>
      <c r="H795">
        <v>-1.3985734696700501E-2</v>
      </c>
      <c r="I795">
        <v>1.3539797089505501</v>
      </c>
      <c r="J795">
        <v>5.45763022321199E-2</v>
      </c>
    </row>
    <row r="796" spans="1:10" hidden="1" x14ac:dyDescent="0.2">
      <c r="A796" t="s">
        <v>216</v>
      </c>
      <c r="B796" t="s">
        <v>29</v>
      </c>
      <c r="C796">
        <v>0</v>
      </c>
      <c r="D796" t="s">
        <v>217</v>
      </c>
      <c r="E796">
        <v>-0.32451940057914502</v>
      </c>
      <c r="F796">
        <v>0.29433782883896897</v>
      </c>
      <c r="G796">
        <v>-1.1025405801871599</v>
      </c>
      <c r="H796">
        <v>-0.91127113865998699</v>
      </c>
      <c r="I796">
        <v>0.262232337501696</v>
      </c>
      <c r="J796">
        <v>0.27389846967342002</v>
      </c>
    </row>
    <row r="797" spans="1:10" hidden="1" x14ac:dyDescent="0.2">
      <c r="A797" t="s">
        <v>216</v>
      </c>
      <c r="B797" t="s">
        <v>29</v>
      </c>
      <c r="C797">
        <v>1</v>
      </c>
      <c r="D797" t="s">
        <v>217</v>
      </c>
      <c r="E797">
        <v>-0.26034645022692299</v>
      </c>
      <c r="F797">
        <v>0.21462788463194399</v>
      </c>
      <c r="G797">
        <v>-1.2130131677595399</v>
      </c>
      <c r="H797">
        <v>-0.69808290690538999</v>
      </c>
      <c r="I797">
        <v>0.17739000645154401</v>
      </c>
      <c r="J797">
        <v>0.234287396036715</v>
      </c>
    </row>
    <row r="798" spans="1:10" hidden="1" x14ac:dyDescent="0.2">
      <c r="A798" t="s">
        <v>216</v>
      </c>
      <c r="B798" t="s">
        <v>18</v>
      </c>
      <c r="C798">
        <v>0</v>
      </c>
      <c r="D798" t="s">
        <v>217</v>
      </c>
      <c r="E798">
        <v>-6.2240432006001697E-2</v>
      </c>
      <c r="F798">
        <v>0.261935839091606</v>
      </c>
      <c r="G798">
        <v>-0.23761709058925201</v>
      </c>
      <c r="H798">
        <v>-0.58439998403812399</v>
      </c>
      <c r="I798">
        <v>0.45991912002612101</v>
      </c>
      <c r="J798">
        <v>0.81285296249439898</v>
      </c>
    </row>
    <row r="799" spans="1:10" hidden="1" x14ac:dyDescent="0.2">
      <c r="A799" t="s">
        <v>216</v>
      </c>
      <c r="B799" t="s">
        <v>18</v>
      </c>
      <c r="C799">
        <v>1</v>
      </c>
      <c r="D799" t="s">
        <v>217</v>
      </c>
      <c r="E799">
        <v>-9.4536031773076998E-2</v>
      </c>
      <c r="F799">
        <v>0.25790609246310198</v>
      </c>
      <c r="G799">
        <v>-0.36655214644299999</v>
      </c>
      <c r="H799">
        <v>-0.62053897525912904</v>
      </c>
      <c r="I799">
        <v>0.43146691171297502</v>
      </c>
      <c r="J799">
        <v>0.71644317622310205</v>
      </c>
    </row>
    <row r="800" spans="1:10" hidden="1" x14ac:dyDescent="0.2">
      <c r="A800" t="s">
        <v>216</v>
      </c>
      <c r="B800" t="s">
        <v>14</v>
      </c>
      <c r="C800">
        <v>0</v>
      </c>
      <c r="D800" t="s">
        <v>217</v>
      </c>
      <c r="E800">
        <v>-0.46382483044936301</v>
      </c>
      <c r="F800">
        <v>0.25086111329425398</v>
      </c>
      <c r="G800">
        <v>-1.8489307663452299</v>
      </c>
      <c r="H800">
        <v>-0.96390732009369395</v>
      </c>
      <c r="I800">
        <v>3.6257659194968303E-2</v>
      </c>
      <c r="J800">
        <v>6.8573225800830598E-2</v>
      </c>
    </row>
    <row r="801" spans="1:11" hidden="1" x14ac:dyDescent="0.2">
      <c r="A801" t="s">
        <v>216</v>
      </c>
      <c r="B801" t="s">
        <v>14</v>
      </c>
      <c r="C801">
        <v>1</v>
      </c>
      <c r="D801" t="s">
        <v>217</v>
      </c>
      <c r="E801">
        <v>-0.26463654408076998</v>
      </c>
      <c r="F801">
        <v>0.26811094045880102</v>
      </c>
      <c r="G801">
        <v>-0.98704119879596797</v>
      </c>
      <c r="H801">
        <v>-0.81145241227248199</v>
      </c>
      <c r="I801">
        <v>0.28217932411094299</v>
      </c>
      <c r="J801">
        <v>0.33126422767254599</v>
      </c>
    </row>
    <row r="802" spans="1:11" hidden="1" x14ac:dyDescent="0.2">
      <c r="A802" s="163" t="s">
        <v>262</v>
      </c>
      <c r="B802" s="138" t="s">
        <v>252</v>
      </c>
      <c r="C802" s="42" t="s">
        <v>66</v>
      </c>
      <c r="D802" s="115" t="s">
        <v>262</v>
      </c>
      <c r="E802" s="42">
        <v>9.1265332571501503E-2</v>
      </c>
      <c r="F802" s="42">
        <v>5.9611591386552601E-2</v>
      </c>
      <c r="G802" s="42">
        <v>1.5309997678084</v>
      </c>
      <c r="H802" s="42">
        <v>-2.6933441324984299E-2</v>
      </c>
      <c r="I802" s="42">
        <v>0.20946410646798699</v>
      </c>
      <c r="J802" s="42">
        <v>0.12877679862469699</v>
      </c>
      <c r="K802" s="42"/>
    </row>
    <row r="803" spans="1:11" hidden="1" x14ac:dyDescent="0.2">
      <c r="A803" s="83" t="s">
        <v>262</v>
      </c>
      <c r="B803" s="145" t="s">
        <v>252</v>
      </c>
      <c r="C803" s="159" t="s">
        <v>64</v>
      </c>
      <c r="D803" t="s">
        <v>262</v>
      </c>
      <c r="E803" s="77">
        <v>0.117943244858861</v>
      </c>
      <c r="F803" s="77">
        <v>8.6857392805545705E-2</v>
      </c>
      <c r="G803" s="77">
        <v>1.3578952930685999</v>
      </c>
      <c r="H803" s="77">
        <v>-5.5203803194232903E-2</v>
      </c>
      <c r="I803" s="77">
        <v>0.29109029291195598</v>
      </c>
      <c r="J803" s="77">
        <v>0.178737268213398</v>
      </c>
      <c r="K803" s="77"/>
    </row>
    <row r="804" spans="1:11" hidden="1" x14ac:dyDescent="0.2">
      <c r="A804" s="83" t="s">
        <v>262</v>
      </c>
      <c r="B804" s="145" t="s">
        <v>252</v>
      </c>
      <c r="C804" s="159" t="s">
        <v>65</v>
      </c>
      <c r="D804" t="s">
        <v>262</v>
      </c>
      <c r="E804" s="77">
        <v>1.4245720078947401E-2</v>
      </c>
      <c r="F804" s="77">
        <v>6.7383055501945899E-2</v>
      </c>
      <c r="G804" s="77">
        <v>0.211413981939955</v>
      </c>
      <c r="H804" s="77">
        <v>-0.123182927676547</v>
      </c>
      <c r="I804" s="77">
        <v>0.15167436783444199</v>
      </c>
      <c r="J804" s="77">
        <v>0.83394799228595895</v>
      </c>
      <c r="K804" s="77"/>
    </row>
    <row r="805" spans="1:11" hidden="1" x14ac:dyDescent="0.2">
      <c r="A805" s="163" t="s">
        <v>262</v>
      </c>
      <c r="B805" s="139" t="s">
        <v>253</v>
      </c>
      <c r="C805" s="42" t="s">
        <v>66</v>
      </c>
      <c r="D805" s="42" t="s">
        <v>262</v>
      </c>
      <c r="E805" s="42">
        <v>3.7745638708717298E-2</v>
      </c>
      <c r="F805" s="42">
        <v>5.4118066901354303E-2</v>
      </c>
      <c r="G805" s="42">
        <v>0.69746834781662803</v>
      </c>
      <c r="H805" s="42">
        <v>-6.9560490931550298E-2</v>
      </c>
      <c r="I805" s="42">
        <v>0.14505176834898501</v>
      </c>
      <c r="J805" s="42">
        <v>0.48705125996304699</v>
      </c>
      <c r="K805" s="42"/>
    </row>
    <row r="806" spans="1:11" hidden="1" x14ac:dyDescent="0.2">
      <c r="A806" s="83" t="s">
        <v>262</v>
      </c>
      <c r="B806" s="146" t="s">
        <v>253</v>
      </c>
      <c r="C806" s="159" t="s">
        <v>64</v>
      </c>
      <c r="D806" s="77" t="s">
        <v>262</v>
      </c>
      <c r="E806" s="77">
        <v>6.4431873965613506E-2</v>
      </c>
      <c r="F806" s="77">
        <v>7.4094322932236195E-2</v>
      </c>
      <c r="G806" s="77">
        <v>0.86959258706689802</v>
      </c>
      <c r="H806" s="77">
        <v>-8.3272459296278606E-2</v>
      </c>
      <c r="I806" s="77">
        <v>0.21213620722750601</v>
      </c>
      <c r="J806" s="77">
        <v>0.38741287248776002</v>
      </c>
      <c r="K806" s="77"/>
    </row>
    <row r="807" spans="1:11" hidden="1" x14ac:dyDescent="0.2">
      <c r="A807" s="83" t="s">
        <v>262</v>
      </c>
      <c r="B807" s="146" t="s">
        <v>253</v>
      </c>
      <c r="C807" s="159" t="s">
        <v>65</v>
      </c>
      <c r="D807" s="77" t="s">
        <v>262</v>
      </c>
      <c r="E807" s="77">
        <v>1.7520250861244001E-2</v>
      </c>
      <c r="F807" s="77">
        <v>8.4938400130881803E-2</v>
      </c>
      <c r="G807" s="77">
        <v>0.20627008319260801</v>
      </c>
      <c r="H807" s="77">
        <v>-0.155712758321088</v>
      </c>
      <c r="I807" s="77">
        <v>0.19075326004357601</v>
      </c>
      <c r="J807" s="77">
        <v>0.83792870391672503</v>
      </c>
      <c r="K807" s="77"/>
    </row>
    <row r="808" spans="1:11" hidden="1" x14ac:dyDescent="0.2">
      <c r="A808" s="163" t="s">
        <v>262</v>
      </c>
      <c r="B808" s="140" t="s">
        <v>254</v>
      </c>
      <c r="C808" s="42" t="s">
        <v>66</v>
      </c>
      <c r="D808" s="42" t="s">
        <v>262</v>
      </c>
      <c r="E808" s="42">
        <v>-5.7169724050992396E-3</v>
      </c>
      <c r="F808" s="42">
        <v>4.9492969722594399E-2</v>
      </c>
      <c r="G808" s="42">
        <v>-0.11551079753634901</v>
      </c>
      <c r="H808" s="42">
        <v>-0.103852388716535</v>
      </c>
      <c r="I808" s="42">
        <v>9.2418443906336897E-2</v>
      </c>
      <c r="J808" s="42">
        <v>0.90826088223018997</v>
      </c>
      <c r="K808" s="42"/>
    </row>
    <row r="809" spans="1:11" hidden="1" x14ac:dyDescent="0.2">
      <c r="A809" s="83" t="s">
        <v>262</v>
      </c>
      <c r="B809" s="147" t="s">
        <v>254</v>
      </c>
      <c r="C809" s="159" t="s">
        <v>64</v>
      </c>
      <c r="D809" s="77" t="s">
        <v>262</v>
      </c>
      <c r="E809" s="77">
        <v>-6.1570104783567697E-2</v>
      </c>
      <c r="F809" s="77">
        <v>6.6853626250413398E-2</v>
      </c>
      <c r="G809" s="77">
        <v>-0.92096881256589902</v>
      </c>
      <c r="H809" s="77">
        <v>-0.194840373012997</v>
      </c>
      <c r="I809" s="77">
        <v>7.1700163445861206E-2</v>
      </c>
      <c r="J809" s="77">
        <v>0.36014230618748799</v>
      </c>
      <c r="K809" s="77"/>
    </row>
    <row r="810" spans="1:11" hidden="1" x14ac:dyDescent="0.2">
      <c r="A810" s="83" t="s">
        <v>262</v>
      </c>
      <c r="B810" s="147" t="s">
        <v>254</v>
      </c>
      <c r="C810" s="159" t="s">
        <v>65</v>
      </c>
      <c r="D810" s="77" t="s">
        <v>262</v>
      </c>
      <c r="E810" s="77">
        <v>0.112350051437799</v>
      </c>
      <c r="F810" s="77">
        <v>7.8071489699623395E-2</v>
      </c>
      <c r="G810" s="77">
        <v>1.43906632075372</v>
      </c>
      <c r="H810" s="77">
        <v>-4.6877801584781602E-2</v>
      </c>
      <c r="I810" s="77">
        <v>0.27157790446037999</v>
      </c>
      <c r="J810" s="77">
        <v>0.16015315991065601</v>
      </c>
      <c r="K810" s="77"/>
    </row>
    <row r="811" spans="1:11" hidden="1" x14ac:dyDescent="0.2">
      <c r="A811" s="163" t="s">
        <v>262</v>
      </c>
      <c r="B811" s="141" t="s">
        <v>255</v>
      </c>
      <c r="C811" s="42" t="s">
        <v>66</v>
      </c>
      <c r="D811" s="42" t="s">
        <v>262</v>
      </c>
      <c r="E811" s="42">
        <v>-4.1190889115588301E-3</v>
      </c>
      <c r="F811" s="42">
        <v>4.8559279411811498E-2</v>
      </c>
      <c r="G811" s="42">
        <v>-8.4825989212618094E-2</v>
      </c>
      <c r="H811" s="42">
        <v>-0.10040316981378</v>
      </c>
      <c r="I811" s="42">
        <v>9.2164991990662401E-2</v>
      </c>
      <c r="J811" s="42">
        <v>0.93256125855868799</v>
      </c>
      <c r="K811" s="42"/>
    </row>
    <row r="812" spans="1:11" hidden="1" x14ac:dyDescent="0.2">
      <c r="A812" s="83" t="s">
        <v>262</v>
      </c>
      <c r="B812" s="148" t="s">
        <v>255</v>
      </c>
      <c r="C812" s="161" t="s">
        <v>64</v>
      </c>
      <c r="D812" s="153" t="s">
        <v>262</v>
      </c>
      <c r="E812" s="153">
        <v>8.3479985454536706E-2</v>
      </c>
      <c r="F812" s="153">
        <v>4.3662479114053201E-2</v>
      </c>
      <c r="G812" s="153">
        <v>1.9119387434798201</v>
      </c>
      <c r="H812" s="153">
        <v>-3.5595758894632901E-3</v>
      </c>
      <c r="I812" s="153">
        <v>0.17051954679853701</v>
      </c>
      <c r="J812" s="153">
        <v>5.9863381820083501E-2</v>
      </c>
      <c r="K812" s="153" t="s">
        <v>200</v>
      </c>
    </row>
    <row r="813" spans="1:11" hidden="1" x14ac:dyDescent="0.2">
      <c r="A813" s="83" t="s">
        <v>262</v>
      </c>
      <c r="B813" s="148" t="s">
        <v>255</v>
      </c>
      <c r="C813" s="159" t="s">
        <v>65</v>
      </c>
      <c r="D813" s="77" t="s">
        <v>262</v>
      </c>
      <c r="E813" s="77">
        <v>-9.6423333624401905E-2</v>
      </c>
      <c r="F813" s="77">
        <v>0.12734657215391201</v>
      </c>
      <c r="G813" s="77">
        <v>-0.75717258810754495</v>
      </c>
      <c r="H813" s="77">
        <v>-0.35614837988479597</v>
      </c>
      <c r="I813" s="77">
        <v>0.163301712635992</v>
      </c>
      <c r="J813" s="77">
        <v>0.454663439751123</v>
      </c>
      <c r="K813" s="77"/>
    </row>
    <row r="814" spans="1:11" hidden="1" x14ac:dyDescent="0.2">
      <c r="A814" s="163" t="s">
        <v>262</v>
      </c>
      <c r="B814" s="129" t="s">
        <v>26</v>
      </c>
      <c r="C814" s="42" t="s">
        <v>66</v>
      </c>
      <c r="D814" s="42" t="s">
        <v>262</v>
      </c>
      <c r="E814" s="42">
        <v>6.5983933786090895E-2</v>
      </c>
      <c r="F814" s="42">
        <v>5.5138915875616999E-2</v>
      </c>
      <c r="G814" s="42">
        <v>1.19668536709967</v>
      </c>
      <c r="H814" s="42">
        <v>-4.3346350792582901E-2</v>
      </c>
      <c r="I814" s="42">
        <v>0.17531421836476499</v>
      </c>
      <c r="J814" s="42">
        <v>0.234124232431973</v>
      </c>
      <c r="K814" s="42"/>
    </row>
    <row r="815" spans="1:11" hidden="1" x14ac:dyDescent="0.2">
      <c r="A815" s="83" t="s">
        <v>262</v>
      </c>
      <c r="B815" s="150" t="s">
        <v>26</v>
      </c>
      <c r="C815" s="159" t="s">
        <v>64</v>
      </c>
      <c r="D815" s="77" t="s">
        <v>262</v>
      </c>
      <c r="E815" s="77">
        <v>0.10699063007946399</v>
      </c>
      <c r="F815" s="77">
        <v>7.80546180050255E-2</v>
      </c>
      <c r="G815" s="77">
        <v>1.3707149277519499</v>
      </c>
      <c r="H815" s="77">
        <v>-4.8608407123263697E-2</v>
      </c>
      <c r="I815" s="77">
        <v>0.26258966728219302</v>
      </c>
      <c r="J815" s="77">
        <v>0.17472193258253399</v>
      </c>
      <c r="K815" s="77"/>
    </row>
    <row r="816" spans="1:11" hidden="1" x14ac:dyDescent="0.2">
      <c r="A816" s="83" t="s">
        <v>262</v>
      </c>
      <c r="B816" s="150" t="s">
        <v>26</v>
      </c>
      <c r="C816" s="159" t="s">
        <v>65</v>
      </c>
      <c r="D816" s="77" t="s">
        <v>262</v>
      </c>
      <c r="E816" s="77">
        <v>-6.5234519999999904E-3</v>
      </c>
      <c r="F816" s="77">
        <v>7.4426250211824599E-2</v>
      </c>
      <c r="G816" s="77">
        <v>-8.7649881344735101E-2</v>
      </c>
      <c r="H816" s="77">
        <v>-0.15831679007187999</v>
      </c>
      <c r="I816" s="77">
        <v>0.14526988607187999</v>
      </c>
      <c r="J816" s="77">
        <v>0.93071871155487296</v>
      </c>
      <c r="K816" s="77"/>
    </row>
    <row r="817" spans="1:11" hidden="1" x14ac:dyDescent="0.2">
      <c r="A817" s="163" t="s">
        <v>262</v>
      </c>
      <c r="B817" s="128" t="s">
        <v>17</v>
      </c>
      <c r="C817" s="42" t="s">
        <v>66</v>
      </c>
      <c r="D817" s="42" t="s">
        <v>262</v>
      </c>
      <c r="E817" s="42">
        <v>7.3599483298909293E-2</v>
      </c>
      <c r="F817" s="42">
        <v>5.3690710177365E-2</v>
      </c>
      <c r="G817" s="42">
        <v>1.37080480134788</v>
      </c>
      <c r="H817" s="42">
        <v>-3.2859276901673298E-2</v>
      </c>
      <c r="I817" s="42">
        <v>0.18005824349949201</v>
      </c>
      <c r="J817" s="42">
        <v>0.17335893813952499</v>
      </c>
      <c r="K817" s="42"/>
    </row>
    <row r="818" spans="1:11" hidden="1" x14ac:dyDescent="0.2">
      <c r="A818" s="83" t="s">
        <v>262</v>
      </c>
      <c r="B818" s="151" t="s">
        <v>17</v>
      </c>
      <c r="C818" s="161" t="s">
        <v>64</v>
      </c>
      <c r="D818" s="153" t="s">
        <v>262</v>
      </c>
      <c r="E818" s="153">
        <v>0.153371568426315</v>
      </c>
      <c r="F818" s="153">
        <v>7.7516459508720104E-2</v>
      </c>
      <c r="G818" s="153">
        <v>1.9785677699722799</v>
      </c>
      <c r="H818" s="153">
        <v>-1.1546694209390901E-3</v>
      </c>
      <c r="I818" s="153">
        <v>0.307897806273568</v>
      </c>
      <c r="J818" s="153">
        <v>5.1690743375285203E-2</v>
      </c>
      <c r="K818" s="153" t="s">
        <v>200</v>
      </c>
    </row>
    <row r="819" spans="1:11" hidden="1" x14ac:dyDescent="0.2">
      <c r="A819" s="83" t="s">
        <v>262</v>
      </c>
      <c r="B819" s="151" t="s">
        <v>17</v>
      </c>
      <c r="C819" s="159" t="s">
        <v>65</v>
      </c>
      <c r="D819" s="77" t="s">
        <v>262</v>
      </c>
      <c r="E819" s="77">
        <v>-5.8676428633971302E-2</v>
      </c>
      <c r="F819" s="77">
        <v>5.8150137561264699E-2</v>
      </c>
      <c r="G819" s="77">
        <v>-1.00905055593638</v>
      </c>
      <c r="H819" s="77">
        <v>-0.17727441609997099</v>
      </c>
      <c r="I819" s="77">
        <v>5.9921558832028897E-2</v>
      </c>
      <c r="J819" s="77">
        <v>0.32076199830629099</v>
      </c>
      <c r="K819" s="77"/>
    </row>
    <row r="820" spans="1:11" hidden="1" x14ac:dyDescent="0.2">
      <c r="A820" s="163" t="s">
        <v>262</v>
      </c>
      <c r="B820" s="124" t="s">
        <v>21</v>
      </c>
      <c r="C820" s="42" t="s">
        <v>66</v>
      </c>
      <c r="D820" s="42" t="s">
        <v>262</v>
      </c>
      <c r="E820" s="42">
        <v>4.9783843957580301E-2</v>
      </c>
      <c r="F820" s="42">
        <v>5.3105932139003401E-2</v>
      </c>
      <c r="G820" s="42">
        <v>0.93744412257509002</v>
      </c>
      <c r="H820" s="42">
        <v>-5.5515409416758997E-2</v>
      </c>
      <c r="I820" s="42">
        <v>0.15508309733191999</v>
      </c>
      <c r="J820" s="42">
        <v>0.35068143492405102</v>
      </c>
      <c r="K820" s="42"/>
    </row>
    <row r="821" spans="1:11" hidden="1" x14ac:dyDescent="0.2">
      <c r="A821" s="83" t="s">
        <v>262</v>
      </c>
      <c r="B821" s="152" t="s">
        <v>21</v>
      </c>
      <c r="C821" s="160" t="s">
        <v>64</v>
      </c>
      <c r="D821" s="149" t="s">
        <v>262</v>
      </c>
      <c r="E821" s="149">
        <v>0.14308554930716599</v>
      </c>
      <c r="F821" s="149">
        <v>7.0800145620812396E-2</v>
      </c>
      <c r="G821" s="149">
        <v>2.0209781781169802</v>
      </c>
      <c r="H821" s="149">
        <v>1.9480384977214899E-3</v>
      </c>
      <c r="I821" s="149">
        <v>0.28422306011661103</v>
      </c>
      <c r="J821" s="149">
        <v>4.7001248131110097E-2</v>
      </c>
      <c r="K821" s="149" t="s">
        <v>61</v>
      </c>
    </row>
    <row r="822" spans="1:11" hidden="1" x14ac:dyDescent="0.2">
      <c r="A822" s="83" t="s">
        <v>262</v>
      </c>
      <c r="B822" s="152" t="s">
        <v>21</v>
      </c>
      <c r="C822" s="159" t="s">
        <v>65</v>
      </c>
      <c r="D822" s="77" t="s">
        <v>262</v>
      </c>
      <c r="E822" s="77">
        <v>-8.3338920086124396E-2</v>
      </c>
      <c r="F822" s="77">
        <v>8.3393925463769697E-2</v>
      </c>
      <c r="G822" s="77">
        <v>-0.99934041505614002</v>
      </c>
      <c r="H822" s="77">
        <v>-0.25342195241726201</v>
      </c>
      <c r="I822" s="77">
        <v>8.6744112245013702E-2</v>
      </c>
      <c r="J822" s="77">
        <v>0.32536695696064</v>
      </c>
      <c r="K822" s="77"/>
    </row>
    <row r="823" spans="1:11" hidden="1" x14ac:dyDescent="0.2">
      <c r="A823" s="163" t="s">
        <v>262</v>
      </c>
      <c r="B823" s="142" t="s">
        <v>29</v>
      </c>
      <c r="C823" s="42" t="s">
        <v>66</v>
      </c>
      <c r="D823" s="42" t="s">
        <v>262</v>
      </c>
      <c r="E823" s="42">
        <v>5.0846245956433403E-2</v>
      </c>
      <c r="F823" s="42">
        <v>5.1190081153495597E-2</v>
      </c>
      <c r="G823" s="42">
        <v>0.99328316757242197</v>
      </c>
      <c r="H823" s="42">
        <v>-5.06542288215256E-2</v>
      </c>
      <c r="I823" s="42">
        <v>0.15234672073439201</v>
      </c>
      <c r="J823" s="42">
        <v>0.32285549675244701</v>
      </c>
      <c r="K823" s="42"/>
    </row>
    <row r="824" spans="1:11" hidden="1" x14ac:dyDescent="0.2">
      <c r="A824" s="83" t="s">
        <v>262</v>
      </c>
      <c r="B824" s="154" t="s">
        <v>29</v>
      </c>
      <c r="C824" s="159" t="s">
        <v>64</v>
      </c>
      <c r="D824" s="77" t="s">
        <v>262</v>
      </c>
      <c r="E824" s="77">
        <v>-3.0536253942496601E-2</v>
      </c>
      <c r="F824" s="77">
        <v>7.5117890412358904E-2</v>
      </c>
      <c r="G824" s="77">
        <v>-0.406511069132375</v>
      </c>
      <c r="H824" s="77">
        <v>-0.18028103168403301</v>
      </c>
      <c r="I824" s="77">
        <v>0.11920852379904</v>
      </c>
      <c r="J824" s="77">
        <v>0.68557293808815201</v>
      </c>
      <c r="K824" s="77"/>
    </row>
    <row r="825" spans="1:11" hidden="1" x14ac:dyDescent="0.2">
      <c r="A825" s="83" t="s">
        <v>262</v>
      </c>
      <c r="B825" s="154" t="s">
        <v>29</v>
      </c>
      <c r="C825" s="160" t="s">
        <v>65</v>
      </c>
      <c r="D825" s="149" t="s">
        <v>262</v>
      </c>
      <c r="E825" s="149">
        <v>0.14886991559808599</v>
      </c>
      <c r="F825" s="149">
        <v>4.4872471285301301E-2</v>
      </c>
      <c r="G825" s="149">
        <v>3.3176223937292</v>
      </c>
      <c r="H825" s="149">
        <v>5.7351907038677298E-2</v>
      </c>
      <c r="I825" s="149">
        <v>0.24038792415749499</v>
      </c>
      <c r="J825" s="149">
        <v>2.3265762794704098E-3</v>
      </c>
      <c r="K825" s="149" t="s">
        <v>61</v>
      </c>
    </row>
    <row r="826" spans="1:11" hidden="1" x14ac:dyDescent="0.2">
      <c r="A826" s="163" t="s">
        <v>262</v>
      </c>
      <c r="B826" s="118" t="s">
        <v>18</v>
      </c>
      <c r="C826" s="43" t="s">
        <v>66</v>
      </c>
      <c r="D826" s="43" t="s">
        <v>262</v>
      </c>
      <c r="E826" s="43">
        <v>0.114233113253391</v>
      </c>
      <c r="F826" s="43">
        <v>4.5896418062569798E-2</v>
      </c>
      <c r="G826" s="43">
        <v>2.48893308182915</v>
      </c>
      <c r="H826" s="43">
        <v>2.32289945064444E-2</v>
      </c>
      <c r="I826" s="43">
        <v>0.205237232000337</v>
      </c>
      <c r="J826" s="43">
        <v>1.438332398049E-2</v>
      </c>
      <c r="K826" s="43" t="s">
        <v>61</v>
      </c>
    </row>
    <row r="827" spans="1:11" hidden="1" x14ac:dyDescent="0.2">
      <c r="A827" s="83" t="s">
        <v>262</v>
      </c>
      <c r="B827" s="155" t="s">
        <v>18</v>
      </c>
      <c r="C827" s="159" t="s">
        <v>64</v>
      </c>
      <c r="D827" s="77" t="s">
        <v>262</v>
      </c>
      <c r="E827" s="77">
        <v>4.5101502416778898E-2</v>
      </c>
      <c r="F827" s="77">
        <v>6.6180264768359406E-2</v>
      </c>
      <c r="G827" s="77">
        <v>0.681494741289428</v>
      </c>
      <c r="H827" s="77">
        <v>-8.6826444230981903E-2</v>
      </c>
      <c r="I827" s="77">
        <v>0.17702944906453999</v>
      </c>
      <c r="J827" s="77">
        <v>0.49774473685147103</v>
      </c>
      <c r="K827" s="77"/>
    </row>
    <row r="828" spans="1:11" hidden="1" x14ac:dyDescent="0.2">
      <c r="A828" s="83" t="s">
        <v>262</v>
      </c>
      <c r="B828" s="155" t="s">
        <v>18</v>
      </c>
      <c r="C828" s="162" t="s">
        <v>65</v>
      </c>
      <c r="D828" s="158" t="s">
        <v>262</v>
      </c>
      <c r="E828" s="158">
        <v>0.20150827157177001</v>
      </c>
      <c r="F828" s="158">
        <v>4.9675490477765601E-2</v>
      </c>
      <c r="G828" s="158">
        <v>4.0564928425208802</v>
      </c>
      <c r="H828" s="158">
        <v>0.10019444078603</v>
      </c>
      <c r="I828" s="158">
        <v>0.30282210235751</v>
      </c>
      <c r="J828" s="158">
        <v>3.1214016105148202E-4</v>
      </c>
      <c r="K828" s="158" t="s">
        <v>242</v>
      </c>
    </row>
    <row r="829" spans="1:11" hidden="1" x14ac:dyDescent="0.2">
      <c r="A829" s="163" t="s">
        <v>262</v>
      </c>
      <c r="B829" s="120" t="s">
        <v>14</v>
      </c>
      <c r="C829" s="41" t="s">
        <v>66</v>
      </c>
      <c r="D829" s="41" t="s">
        <v>262</v>
      </c>
      <c r="E829" s="41">
        <v>9.1337463538254005E-2</v>
      </c>
      <c r="F829" s="41">
        <v>4.6078961128203998E-2</v>
      </c>
      <c r="G829" s="41">
        <v>1.98219450486587</v>
      </c>
      <c r="H829" s="116">
        <v>-2.8604387357231098E-5</v>
      </c>
      <c r="I829" s="41">
        <v>0.182703531463865</v>
      </c>
      <c r="J829" s="41">
        <v>5.00704664483883E-2</v>
      </c>
      <c r="K829" s="41" t="s">
        <v>200</v>
      </c>
    </row>
    <row r="830" spans="1:11" hidden="1" x14ac:dyDescent="0.2">
      <c r="A830" s="83" t="s">
        <v>262</v>
      </c>
      <c r="B830" s="121" t="s">
        <v>14</v>
      </c>
      <c r="C830" s="159" t="s">
        <v>64</v>
      </c>
      <c r="D830" s="77" t="s">
        <v>262</v>
      </c>
      <c r="E830" s="77">
        <v>1.3559064855904499E-2</v>
      </c>
      <c r="F830" s="77">
        <v>6.50331324518197E-2</v>
      </c>
      <c r="G830" s="77">
        <v>0.208494721762784</v>
      </c>
      <c r="H830" s="77">
        <v>-0.116082115312694</v>
      </c>
      <c r="I830" s="77">
        <v>0.14320024502450299</v>
      </c>
      <c r="J830" s="77">
        <v>0.83543140056436804</v>
      </c>
      <c r="K830" s="77"/>
    </row>
    <row r="831" spans="1:11" hidden="1" x14ac:dyDescent="0.2">
      <c r="A831" s="83" t="s">
        <v>262</v>
      </c>
      <c r="B831" s="121" t="s">
        <v>14</v>
      </c>
      <c r="C831" s="160" t="s">
        <v>65</v>
      </c>
      <c r="D831" s="149" t="s">
        <v>262</v>
      </c>
      <c r="E831" s="149">
        <v>0.183666486361244</v>
      </c>
      <c r="F831" s="149">
        <v>5.5716401740938698E-2</v>
      </c>
      <c r="G831" s="149">
        <v>3.29645276116766</v>
      </c>
      <c r="H831" s="149">
        <v>7.0032135825775194E-2</v>
      </c>
      <c r="I831" s="149">
        <v>0.29730083689671299</v>
      </c>
      <c r="J831" s="149">
        <v>2.4597789387162902E-3</v>
      </c>
      <c r="K831" s="149" t="s">
        <v>61</v>
      </c>
    </row>
    <row r="832" spans="1:11" hidden="1" x14ac:dyDescent="0.2">
      <c r="A832" s="171" t="s">
        <v>263</v>
      </c>
      <c r="B832" s="138" t="s">
        <v>252</v>
      </c>
      <c r="C832" s="42" t="s">
        <v>66</v>
      </c>
      <c r="D832" s="115" t="s">
        <v>274</v>
      </c>
      <c r="E832" s="42">
        <v>-0.31382322223053899</v>
      </c>
      <c r="F832" s="42">
        <v>0.249280849414525</v>
      </c>
      <c r="G832" s="42">
        <v>-1.25891428470178</v>
      </c>
      <c r="H832" s="42">
        <v>-0.80810109791426199</v>
      </c>
      <c r="I832" s="42">
        <v>0.18045465345318501</v>
      </c>
      <c r="J832" s="42">
        <v>0.21085299281966499</v>
      </c>
      <c r="K832" s="42"/>
    </row>
    <row r="833" spans="1:11" hidden="1" x14ac:dyDescent="0.2">
      <c r="A833" s="113" t="s">
        <v>263</v>
      </c>
      <c r="B833" s="145" t="s">
        <v>252</v>
      </c>
      <c r="C833" s="159" t="s">
        <v>64</v>
      </c>
      <c r="D833" t="s">
        <v>274</v>
      </c>
      <c r="E833" s="77">
        <v>-0.350550226044827</v>
      </c>
      <c r="F833" s="77">
        <v>0.34843082692416899</v>
      </c>
      <c r="G833" s="77">
        <v>-1.0060826969283001</v>
      </c>
      <c r="H833" s="77">
        <v>-1.0451343850200301</v>
      </c>
      <c r="I833" s="77">
        <v>0.34403393293037199</v>
      </c>
      <c r="J833" s="77">
        <v>0.31774506188037299</v>
      </c>
      <c r="K833" s="77"/>
    </row>
    <row r="834" spans="1:11" hidden="1" x14ac:dyDescent="0.2">
      <c r="A834" s="113" t="s">
        <v>263</v>
      </c>
      <c r="B834" s="145" t="s">
        <v>252</v>
      </c>
      <c r="C834" s="159" t="s">
        <v>65</v>
      </c>
      <c r="D834" t="s">
        <v>274</v>
      </c>
      <c r="E834" s="77">
        <v>-6.9822715763888696E-2</v>
      </c>
      <c r="F834" s="77">
        <v>0.310862307795919</v>
      </c>
      <c r="G834" s="77">
        <v>-0.22460978385879901</v>
      </c>
      <c r="H834" s="77">
        <v>-0.70383057249148495</v>
      </c>
      <c r="I834" s="77">
        <v>0.56418514096370798</v>
      </c>
      <c r="J834" s="77">
        <v>0.82375679049936601</v>
      </c>
      <c r="K834" s="77"/>
    </row>
    <row r="835" spans="1:11" hidden="1" x14ac:dyDescent="0.2">
      <c r="A835" s="171" t="s">
        <v>263</v>
      </c>
      <c r="B835" s="139" t="s">
        <v>253</v>
      </c>
      <c r="C835" s="42" t="s">
        <v>66</v>
      </c>
      <c r="D835" s="42" t="s">
        <v>274</v>
      </c>
      <c r="E835" s="42">
        <v>2.74043173113208E-2</v>
      </c>
      <c r="F835" s="42">
        <v>0.22601265124761999</v>
      </c>
      <c r="G835" s="42">
        <v>0.121251253680028</v>
      </c>
      <c r="H835" s="42">
        <v>-0.42073701965337401</v>
      </c>
      <c r="I835" s="42">
        <v>0.47554565427601497</v>
      </c>
      <c r="J835" s="42">
        <v>0.90372376542908495</v>
      </c>
      <c r="K835" s="42"/>
    </row>
    <row r="836" spans="1:11" hidden="1" x14ac:dyDescent="0.2">
      <c r="A836" s="113" t="s">
        <v>263</v>
      </c>
      <c r="B836" s="146" t="s">
        <v>253</v>
      </c>
      <c r="C836" s="159" t="s">
        <v>64</v>
      </c>
      <c r="D836" s="77" t="s">
        <v>274</v>
      </c>
      <c r="E836" s="77">
        <v>-0.115077585848276</v>
      </c>
      <c r="F836" s="77">
        <v>0.29679116592427901</v>
      </c>
      <c r="G836" s="77">
        <v>-0.38773925595088599</v>
      </c>
      <c r="H836" s="77">
        <v>-0.70671996202542398</v>
      </c>
      <c r="I836" s="77">
        <v>0.476564790328872</v>
      </c>
      <c r="J836" s="77">
        <v>0.69935294272110504</v>
      </c>
      <c r="K836" s="77"/>
    </row>
    <row r="837" spans="1:11" hidden="1" x14ac:dyDescent="0.2">
      <c r="A837" s="113" t="s">
        <v>263</v>
      </c>
      <c r="B837" s="146" t="s">
        <v>253</v>
      </c>
      <c r="C837" s="159" t="s">
        <v>65</v>
      </c>
      <c r="D837" s="77" t="s">
        <v>274</v>
      </c>
      <c r="E837" s="77">
        <v>0.31231432408333398</v>
      </c>
      <c r="F837" s="77">
        <v>0.38812411551120501</v>
      </c>
      <c r="G837" s="77">
        <v>0.80467642076808199</v>
      </c>
      <c r="H837" s="77">
        <v>-0.47927002837248101</v>
      </c>
      <c r="I837" s="77">
        <v>1.1038986765391501</v>
      </c>
      <c r="J837" s="77">
        <v>0.42713495019263797</v>
      </c>
      <c r="K837" s="77"/>
    </row>
    <row r="838" spans="1:11" hidden="1" x14ac:dyDescent="0.2">
      <c r="A838" s="171" t="s">
        <v>263</v>
      </c>
      <c r="B838" s="140" t="s">
        <v>254</v>
      </c>
      <c r="C838" s="42" t="s">
        <v>66</v>
      </c>
      <c r="D838" s="42" t="s">
        <v>274</v>
      </c>
      <c r="E838" s="42">
        <v>0.22511480632355099</v>
      </c>
      <c r="F838" s="42">
        <v>0.205073921079508</v>
      </c>
      <c r="G838" s="42">
        <v>1.0977251770412699</v>
      </c>
      <c r="H838" s="42">
        <v>-0.181508896649938</v>
      </c>
      <c r="I838" s="42">
        <v>0.63173850929704001</v>
      </c>
      <c r="J838" s="42">
        <v>0.27483546505372503</v>
      </c>
      <c r="K838" s="42"/>
    </row>
    <row r="839" spans="1:11" hidden="1" x14ac:dyDescent="0.2">
      <c r="A839" s="113" t="s">
        <v>263</v>
      </c>
      <c r="B839" s="147" t="s">
        <v>254</v>
      </c>
      <c r="C839" s="159" t="s">
        <v>64</v>
      </c>
      <c r="D839" s="77" t="s">
        <v>274</v>
      </c>
      <c r="E839" s="77">
        <v>0.32657910220766301</v>
      </c>
      <c r="F839" s="77">
        <v>0.26546123958228002</v>
      </c>
      <c r="G839" s="77">
        <v>1.23023271767116</v>
      </c>
      <c r="H839" s="77">
        <v>-0.20260820726051099</v>
      </c>
      <c r="I839" s="77">
        <v>0.855766411675837</v>
      </c>
      <c r="J839" s="77">
        <v>0.22261436845029201</v>
      </c>
      <c r="K839" s="77"/>
    </row>
    <row r="840" spans="1:11" hidden="1" x14ac:dyDescent="0.2">
      <c r="A840" s="113" t="s">
        <v>263</v>
      </c>
      <c r="B840" s="147" t="s">
        <v>254</v>
      </c>
      <c r="C840" s="159" t="s">
        <v>65</v>
      </c>
      <c r="D840" s="77" t="s">
        <v>274</v>
      </c>
      <c r="E840" s="77">
        <v>2.1276401388891498E-3</v>
      </c>
      <c r="F840" s="77">
        <v>0.37204209667507698</v>
      </c>
      <c r="G840" s="77">
        <v>5.7188155800211096E-3</v>
      </c>
      <c r="H840" s="77">
        <v>-0.756657218655443</v>
      </c>
      <c r="I840" s="77">
        <v>0.76091249893322099</v>
      </c>
      <c r="J840" s="77">
        <v>0.99547371452802802</v>
      </c>
      <c r="K840" s="77"/>
    </row>
    <row r="841" spans="1:11" hidden="1" x14ac:dyDescent="0.2">
      <c r="A841" s="171" t="s">
        <v>263</v>
      </c>
      <c r="B841" s="141" t="s">
        <v>255</v>
      </c>
      <c r="C841" s="42" t="s">
        <v>66</v>
      </c>
      <c r="D841" s="42" t="s">
        <v>274</v>
      </c>
      <c r="E841" s="42">
        <v>5.8134590067785298E-2</v>
      </c>
      <c r="F841" s="42">
        <v>0.202270949300733</v>
      </c>
      <c r="G841" s="42">
        <v>0.28740948845477499</v>
      </c>
      <c r="H841" s="42">
        <v>-0.34293133765073203</v>
      </c>
      <c r="I841" s="42">
        <v>0.459200517786302</v>
      </c>
      <c r="J841" s="42">
        <v>0.774365254605484</v>
      </c>
      <c r="K841" s="42"/>
    </row>
    <row r="842" spans="1:11" hidden="1" x14ac:dyDescent="0.2">
      <c r="A842" s="113" t="s">
        <v>263</v>
      </c>
      <c r="B842" s="148" t="s">
        <v>255</v>
      </c>
      <c r="C842" s="159" t="s">
        <v>64</v>
      </c>
      <c r="D842" s="77" t="s">
        <v>274</v>
      </c>
      <c r="E842" s="77">
        <v>-0.246434920393103</v>
      </c>
      <c r="F842" s="77">
        <v>0.17615249787899701</v>
      </c>
      <c r="G842" s="77">
        <v>-1.39898623840341</v>
      </c>
      <c r="H842" s="77">
        <v>-0.59758850709136702</v>
      </c>
      <c r="I842" s="77">
        <v>0.10471866630516</v>
      </c>
      <c r="J842" s="77">
        <v>0.166110297122503</v>
      </c>
      <c r="K842" s="77"/>
    </row>
    <row r="843" spans="1:11" hidden="1" x14ac:dyDescent="0.2">
      <c r="A843" s="113" t="s">
        <v>263</v>
      </c>
      <c r="B843" s="148" t="s">
        <v>255</v>
      </c>
      <c r="C843" s="159" t="s">
        <v>65</v>
      </c>
      <c r="D843" s="77" t="s">
        <v>274</v>
      </c>
      <c r="E843" s="77">
        <v>0.464793551986112</v>
      </c>
      <c r="F843" s="77">
        <v>0.58705248424689904</v>
      </c>
      <c r="G843" s="77">
        <v>0.79174105290155194</v>
      </c>
      <c r="H843" s="77">
        <v>-0.73250788337585504</v>
      </c>
      <c r="I843" s="77">
        <v>1.6620949873480799</v>
      </c>
      <c r="J843" s="77">
        <v>0.43452842111770601</v>
      </c>
      <c r="K843" s="77"/>
    </row>
    <row r="844" spans="1:11" hidden="1" x14ac:dyDescent="0.2">
      <c r="A844" s="171" t="s">
        <v>263</v>
      </c>
      <c r="B844" s="129" t="s">
        <v>26</v>
      </c>
      <c r="C844" s="42" t="s">
        <v>66</v>
      </c>
      <c r="D844" s="42" t="s">
        <v>274</v>
      </c>
      <c r="E844" s="42">
        <v>-0.202584022295248</v>
      </c>
      <c r="F844" s="42">
        <v>0.230475624765378</v>
      </c>
      <c r="G844" s="42">
        <v>-0.878982419513895</v>
      </c>
      <c r="H844" s="42">
        <v>-0.65957461131749595</v>
      </c>
      <c r="I844" s="42">
        <v>0.25440656672699902</v>
      </c>
      <c r="J844" s="42">
        <v>0.381417919663119</v>
      </c>
      <c r="K844" s="42"/>
    </row>
    <row r="845" spans="1:11" hidden="1" x14ac:dyDescent="0.2">
      <c r="A845" s="113" t="s">
        <v>263</v>
      </c>
      <c r="B845" s="150" t="s">
        <v>26</v>
      </c>
      <c r="C845" s="159" t="s">
        <v>64</v>
      </c>
      <c r="D845" s="77" t="s">
        <v>274</v>
      </c>
      <c r="E845" s="77">
        <v>-0.40018741219693499</v>
      </c>
      <c r="F845" s="77">
        <v>0.31183995274081999</v>
      </c>
      <c r="G845" s="77">
        <v>-1.2833102643827801</v>
      </c>
      <c r="H845" s="77">
        <v>-1.02182899661532</v>
      </c>
      <c r="I845" s="77">
        <v>0.22145417222145</v>
      </c>
      <c r="J845" s="77">
        <v>0.20349863160885201</v>
      </c>
      <c r="K845" s="77"/>
    </row>
    <row r="846" spans="1:11" hidden="1" x14ac:dyDescent="0.2">
      <c r="A846" s="113" t="s">
        <v>263</v>
      </c>
      <c r="B846" s="150" t="s">
        <v>26</v>
      </c>
      <c r="C846" s="159" t="s">
        <v>65</v>
      </c>
      <c r="D846" s="77" t="s">
        <v>274</v>
      </c>
      <c r="E846" s="77">
        <v>0.30660429929166699</v>
      </c>
      <c r="F846" s="77">
        <v>0.338985751608608</v>
      </c>
      <c r="G846" s="77">
        <v>0.90447547673234197</v>
      </c>
      <c r="H846" s="77">
        <v>-0.38476169925088199</v>
      </c>
      <c r="I846" s="77">
        <v>0.99797029783421598</v>
      </c>
      <c r="J846" s="77">
        <v>0.37271910155496601</v>
      </c>
      <c r="K846" s="77"/>
    </row>
    <row r="847" spans="1:11" hidden="1" x14ac:dyDescent="0.2">
      <c r="A847" s="171" t="s">
        <v>263</v>
      </c>
      <c r="B847" s="128" t="s">
        <v>17</v>
      </c>
      <c r="C847" s="42" t="s">
        <v>66</v>
      </c>
      <c r="D847" s="42" t="s">
        <v>274</v>
      </c>
      <c r="E847" s="42">
        <v>-0.22611597192767299</v>
      </c>
      <c r="F847" s="42">
        <v>0.224637748067263</v>
      </c>
      <c r="G847" s="42">
        <v>-1.0065804784508801</v>
      </c>
      <c r="H847" s="42">
        <v>-0.67153112986636698</v>
      </c>
      <c r="I847" s="42">
        <v>0.21929918601102</v>
      </c>
      <c r="J847" s="42">
        <v>0.31645046149995898</v>
      </c>
      <c r="K847" s="42"/>
    </row>
    <row r="848" spans="1:11" hidden="1" x14ac:dyDescent="0.2">
      <c r="A848" s="113" t="s">
        <v>263</v>
      </c>
      <c r="B848" s="151" t="s">
        <v>17</v>
      </c>
      <c r="C848" s="159" t="s">
        <v>64</v>
      </c>
      <c r="D848" s="77" t="s">
        <v>274</v>
      </c>
      <c r="E848" s="77">
        <v>-0.47322344609118799</v>
      </c>
      <c r="F848" s="77">
        <v>0.31256148398635097</v>
      </c>
      <c r="G848" s="77">
        <v>-1.51401714650117</v>
      </c>
      <c r="H848" s="77">
        <v>-1.0963033767597501</v>
      </c>
      <c r="I848" s="77">
        <v>0.149856484577371</v>
      </c>
      <c r="J848" s="77">
        <v>0.13439917548494201</v>
      </c>
      <c r="K848" s="77"/>
    </row>
    <row r="849" spans="1:11" hidden="1" x14ac:dyDescent="0.2">
      <c r="A849" s="113" t="s">
        <v>263</v>
      </c>
      <c r="B849" s="151" t="s">
        <v>17</v>
      </c>
      <c r="C849" s="159" t="s">
        <v>65</v>
      </c>
      <c r="D849" s="77" t="s">
        <v>274</v>
      </c>
      <c r="E849" s="77">
        <v>0.32610146623611203</v>
      </c>
      <c r="F849" s="77">
        <v>0.26629794568780801</v>
      </c>
      <c r="G849" s="77">
        <v>1.22457372096446</v>
      </c>
      <c r="H849" s="77">
        <v>-0.217016774741913</v>
      </c>
      <c r="I849" s="77">
        <v>0.86921970721413699</v>
      </c>
      <c r="J849" s="77">
        <v>0.22996044936323901</v>
      </c>
      <c r="K849" s="77"/>
    </row>
    <row r="850" spans="1:11" hidden="1" x14ac:dyDescent="0.2">
      <c r="A850" s="171" t="s">
        <v>263</v>
      </c>
      <c r="B850" s="124" t="s">
        <v>21</v>
      </c>
      <c r="C850" s="42" t="s">
        <v>66</v>
      </c>
      <c r="D850" s="42" t="s">
        <v>274</v>
      </c>
      <c r="E850" s="42">
        <v>-9.8529224816911704E-2</v>
      </c>
      <c r="F850" s="42">
        <v>0.22200517008052301</v>
      </c>
      <c r="G850" s="42">
        <v>-0.44381500116044398</v>
      </c>
      <c r="H850" s="42">
        <v>-0.53872446691403897</v>
      </c>
      <c r="I850" s="42">
        <v>0.34166601728021601</v>
      </c>
      <c r="J850" s="42">
        <v>0.65808959158680302</v>
      </c>
      <c r="K850" s="42"/>
    </row>
    <row r="851" spans="1:11" hidden="1" x14ac:dyDescent="0.2">
      <c r="A851" s="113" t="s">
        <v>263</v>
      </c>
      <c r="B851" s="152" t="s">
        <v>21</v>
      </c>
      <c r="C851" s="159" t="s">
        <v>64</v>
      </c>
      <c r="D851" s="77" t="s">
        <v>274</v>
      </c>
      <c r="E851" s="77">
        <v>-0.42438007463371702</v>
      </c>
      <c r="F851" s="77">
        <v>0.28597205780313001</v>
      </c>
      <c r="G851" s="77">
        <v>-1.48399140074682</v>
      </c>
      <c r="H851" s="77">
        <v>-0.99445495294757902</v>
      </c>
      <c r="I851" s="77">
        <v>0.14569480368014601</v>
      </c>
      <c r="J851" s="77">
        <v>0.14217594546846399</v>
      </c>
      <c r="K851" s="77"/>
    </row>
    <row r="852" spans="1:11" hidden="1" x14ac:dyDescent="0.2">
      <c r="A852" s="113" t="s">
        <v>263</v>
      </c>
      <c r="B852" s="152" t="s">
        <v>21</v>
      </c>
      <c r="C852" s="159" t="s">
        <v>65</v>
      </c>
      <c r="D852" s="77" t="s">
        <v>274</v>
      </c>
      <c r="E852" s="77">
        <v>0.54202068555555605</v>
      </c>
      <c r="F852" s="77">
        <v>0.37859471058732702</v>
      </c>
      <c r="G852" s="77">
        <v>1.43166470739832</v>
      </c>
      <c r="H852" s="77">
        <v>-0.230128317421853</v>
      </c>
      <c r="I852" s="77">
        <v>1.3141696885329699</v>
      </c>
      <c r="J852" s="77">
        <v>0.162245583711327</v>
      </c>
      <c r="K852" s="77"/>
    </row>
    <row r="853" spans="1:11" hidden="1" x14ac:dyDescent="0.2">
      <c r="A853" s="171" t="s">
        <v>263</v>
      </c>
      <c r="B853" s="142" t="s">
        <v>29</v>
      </c>
      <c r="C853" s="43" t="s">
        <v>66</v>
      </c>
      <c r="D853" s="43" t="s">
        <v>274</v>
      </c>
      <c r="E853" s="43">
        <v>-0.440820032954927</v>
      </c>
      <c r="F853" s="43">
        <v>0.20994348848276401</v>
      </c>
      <c r="G853" s="43">
        <v>-2.0997080506791601</v>
      </c>
      <c r="H853" s="43">
        <v>-0.857099188552367</v>
      </c>
      <c r="I853" s="43">
        <v>-2.4540877357487698E-2</v>
      </c>
      <c r="J853" s="43">
        <v>3.8150901202082303E-2</v>
      </c>
      <c r="K853" s="43" t="s">
        <v>61</v>
      </c>
    </row>
    <row r="854" spans="1:11" hidden="1" x14ac:dyDescent="0.2">
      <c r="A854" s="113" t="s">
        <v>263</v>
      </c>
      <c r="B854" s="154" t="s">
        <v>29</v>
      </c>
      <c r="C854" s="159" t="s">
        <v>64</v>
      </c>
      <c r="D854" s="77" t="s">
        <v>274</v>
      </c>
      <c r="E854" s="77">
        <v>-0.213062683964751</v>
      </c>
      <c r="F854" s="77">
        <v>0.298926668408458</v>
      </c>
      <c r="G854" s="77">
        <v>-0.71275903585028799</v>
      </c>
      <c r="H854" s="77">
        <v>-0.80896210654062595</v>
      </c>
      <c r="I854" s="77">
        <v>0.382836738611123</v>
      </c>
      <c r="J854" s="77">
        <v>0.47829851628393499</v>
      </c>
      <c r="K854" s="77"/>
    </row>
    <row r="855" spans="1:11" hidden="1" x14ac:dyDescent="0.2">
      <c r="A855" s="113" t="s">
        <v>263</v>
      </c>
      <c r="B855" s="154" t="s">
        <v>29</v>
      </c>
      <c r="C855" s="162" t="s">
        <v>65</v>
      </c>
      <c r="D855" s="158" t="s">
        <v>274</v>
      </c>
      <c r="E855" s="158">
        <v>-0.80755823438888896</v>
      </c>
      <c r="F855" s="158">
        <v>0.19246690691569701</v>
      </c>
      <c r="G855" s="158">
        <v>-4.1958290250001804</v>
      </c>
      <c r="H855" s="158">
        <v>-1.20009707902978</v>
      </c>
      <c r="I855" s="158">
        <v>-0.41501938974800001</v>
      </c>
      <c r="J855" s="158">
        <v>2.1136221735715201E-4</v>
      </c>
      <c r="K855" s="158" t="s">
        <v>242</v>
      </c>
    </row>
    <row r="856" spans="1:11" hidden="1" x14ac:dyDescent="0.2">
      <c r="A856" s="171" t="s">
        <v>263</v>
      </c>
      <c r="B856" s="118" t="s">
        <v>18</v>
      </c>
      <c r="C856" s="43" t="s">
        <v>66</v>
      </c>
      <c r="D856" s="43" t="s">
        <v>274</v>
      </c>
      <c r="E856" s="43">
        <v>-0.41051195673585</v>
      </c>
      <c r="F856" s="43">
        <v>0.192687762630849</v>
      </c>
      <c r="G856" s="43">
        <v>-2.13045162355384</v>
      </c>
      <c r="H856" s="43">
        <v>-0.79257619555369196</v>
      </c>
      <c r="I856" s="43">
        <v>-2.8447717918007199E-2</v>
      </c>
      <c r="J856" s="43">
        <v>3.5469514838424303E-2</v>
      </c>
      <c r="K856" s="43" t="s">
        <v>61</v>
      </c>
    </row>
    <row r="857" spans="1:11" hidden="1" x14ac:dyDescent="0.2">
      <c r="A857" s="113" t="s">
        <v>263</v>
      </c>
      <c r="B857" s="155" t="s">
        <v>18</v>
      </c>
      <c r="C857" s="159" t="s">
        <v>64</v>
      </c>
      <c r="D857" s="77" t="s">
        <v>274</v>
      </c>
      <c r="E857" s="77">
        <v>-0.13192101205210699</v>
      </c>
      <c r="F857" s="77">
        <v>0.26437800911716802</v>
      </c>
      <c r="G857" s="77">
        <v>-0.498986328297986</v>
      </c>
      <c r="H857" s="77">
        <v>-0.65894894105378299</v>
      </c>
      <c r="I857" s="77">
        <v>0.39510691694956801</v>
      </c>
      <c r="J857" s="77">
        <v>0.61931020587933205</v>
      </c>
      <c r="K857" s="77"/>
    </row>
    <row r="858" spans="1:11" hidden="1" x14ac:dyDescent="0.2">
      <c r="A858" s="113" t="s">
        <v>263</v>
      </c>
      <c r="B858" s="155" t="s">
        <v>18</v>
      </c>
      <c r="C858" s="162" t="s">
        <v>65</v>
      </c>
      <c r="D858" s="158" t="s">
        <v>274</v>
      </c>
      <c r="E858" s="158">
        <v>-0.86999775422222203</v>
      </c>
      <c r="F858" s="158">
        <v>0.23663480822580801</v>
      </c>
      <c r="G858" s="158">
        <v>-3.6765417596215499</v>
      </c>
      <c r="H858" s="158">
        <v>-1.3526176274841899</v>
      </c>
      <c r="I858" s="158">
        <v>-0.38737788096025</v>
      </c>
      <c r="J858" s="158">
        <v>8.8957467193841199E-4</v>
      </c>
      <c r="K858" s="158" t="s">
        <v>242</v>
      </c>
    </row>
    <row r="859" spans="1:11" hidden="1" x14ac:dyDescent="0.2">
      <c r="A859" s="171" t="s">
        <v>263</v>
      </c>
      <c r="B859" s="120" t="s">
        <v>14</v>
      </c>
      <c r="C859" s="41" t="s">
        <v>66</v>
      </c>
      <c r="D859" s="41" t="s">
        <v>274</v>
      </c>
      <c r="E859" s="41">
        <v>-0.33468338341020298</v>
      </c>
      <c r="F859" s="41">
        <v>0.19282099807106601</v>
      </c>
      <c r="G859" s="41">
        <v>-1.73572062564915</v>
      </c>
      <c r="H859" s="41">
        <v>-0.71701180349391702</v>
      </c>
      <c r="I859" s="41">
        <v>4.76450366735112E-2</v>
      </c>
      <c r="J859" s="41">
        <v>8.5546832345276394E-2</v>
      </c>
      <c r="K859" s="41" t="s">
        <v>200</v>
      </c>
    </row>
    <row r="860" spans="1:11" hidden="1" x14ac:dyDescent="0.2">
      <c r="A860" s="113" t="s">
        <v>263</v>
      </c>
      <c r="B860" s="121" t="s">
        <v>14</v>
      </c>
      <c r="C860" s="159" t="s">
        <v>64</v>
      </c>
      <c r="D860" s="77" t="s">
        <v>274</v>
      </c>
      <c r="E860" s="77">
        <v>-6.4298657708812199E-3</v>
      </c>
      <c r="F860" s="77">
        <v>0.25948612395930198</v>
      </c>
      <c r="G860" s="77">
        <v>-2.4779227778244001E-2</v>
      </c>
      <c r="H860" s="77">
        <v>-0.523705999938056</v>
      </c>
      <c r="I860" s="77">
        <v>0.51084626839629399</v>
      </c>
      <c r="J860" s="77">
        <v>0.98029960871794497</v>
      </c>
      <c r="K860" s="77"/>
    </row>
    <row r="861" spans="1:11" hidden="1" x14ac:dyDescent="0.2">
      <c r="A861" s="113" t="s">
        <v>263</v>
      </c>
      <c r="B861" s="121" t="s">
        <v>14</v>
      </c>
      <c r="C861" s="160" t="s">
        <v>65</v>
      </c>
      <c r="D861" s="149" t="s">
        <v>274</v>
      </c>
      <c r="E861" s="149">
        <v>-0.87243181108333301</v>
      </c>
      <c r="F861" s="149">
        <v>0.25434797887381</v>
      </c>
      <c r="G861" s="149">
        <v>-3.4300717267196199</v>
      </c>
      <c r="H861" s="149">
        <v>-1.3911779340602199</v>
      </c>
      <c r="I861" s="149">
        <v>-0.35368568810644802</v>
      </c>
      <c r="J861" s="149">
        <v>1.7274143140081201E-3</v>
      </c>
      <c r="K861" s="149" t="s">
        <v>61</v>
      </c>
    </row>
    <row r="862" spans="1:11" x14ac:dyDescent="0.2">
      <c r="A862" s="199" t="s">
        <v>280</v>
      </c>
      <c r="B862" s="138" t="s">
        <v>252</v>
      </c>
      <c r="C862" s="42" t="s">
        <v>66</v>
      </c>
      <c r="D862" s="42" t="s">
        <v>286</v>
      </c>
      <c r="E862" s="42">
        <v>-0.39690580169554301</v>
      </c>
      <c r="F862" s="42">
        <v>0.27409135891533898</v>
      </c>
      <c r="G862" s="42">
        <v>-1.44807849202622</v>
      </c>
      <c r="H862" s="42">
        <v>-0.94037833456811704</v>
      </c>
      <c r="I862" s="42">
        <v>0.14656673117703201</v>
      </c>
      <c r="J862" s="42">
        <v>0.150574588379015</v>
      </c>
      <c r="K862" s="42"/>
    </row>
    <row r="863" spans="1:11" x14ac:dyDescent="0.2">
      <c r="A863" s="196" t="s">
        <v>280</v>
      </c>
      <c r="B863" s="145" t="s">
        <v>252</v>
      </c>
      <c r="C863" s="159" t="s">
        <v>64</v>
      </c>
      <c r="D863" t="s">
        <v>286</v>
      </c>
      <c r="E863">
        <v>-0.52449898080785295</v>
      </c>
      <c r="F863">
        <v>0.353430063804061</v>
      </c>
      <c r="G863">
        <v>-1.4840248029908101</v>
      </c>
      <c r="H863">
        <v>-1.2290489363642301</v>
      </c>
      <c r="I863">
        <v>0.180050974748524</v>
      </c>
      <c r="J863">
        <v>0.14216710217019901</v>
      </c>
    </row>
    <row r="864" spans="1:11" x14ac:dyDescent="0.2">
      <c r="A864" s="196" t="s">
        <v>280</v>
      </c>
      <c r="B864" s="145" t="s">
        <v>252</v>
      </c>
      <c r="C864" s="159" t="s">
        <v>65</v>
      </c>
      <c r="D864" t="s">
        <v>286</v>
      </c>
      <c r="E864">
        <v>0.27153856262857201</v>
      </c>
      <c r="F864">
        <v>0.38335195954563001</v>
      </c>
      <c r="G864">
        <v>0.70832705003103102</v>
      </c>
      <c r="H864">
        <v>-0.51031291356715403</v>
      </c>
      <c r="I864">
        <v>1.0533900388243</v>
      </c>
      <c r="J864">
        <v>0.48403472245614299</v>
      </c>
    </row>
    <row r="865" spans="1:11" x14ac:dyDescent="0.2">
      <c r="A865" s="199" t="s">
        <v>280</v>
      </c>
      <c r="B865" s="139" t="s">
        <v>253</v>
      </c>
      <c r="C865" s="42" t="s">
        <v>66</v>
      </c>
      <c r="D865" s="42" t="s">
        <v>286</v>
      </c>
      <c r="E865" s="42">
        <v>-0.371445443634974</v>
      </c>
      <c r="F865" s="42">
        <v>0.24646957637581501</v>
      </c>
      <c r="G865" s="42">
        <v>-1.50706407296532</v>
      </c>
      <c r="H865" s="42">
        <v>-0.86014908419873504</v>
      </c>
      <c r="I865" s="42">
        <v>0.117258196928788</v>
      </c>
      <c r="J865" s="42">
        <v>0.13479703311934699</v>
      </c>
      <c r="K865" s="42"/>
    </row>
    <row r="866" spans="1:11" x14ac:dyDescent="0.2">
      <c r="A866" s="196" t="s">
        <v>280</v>
      </c>
      <c r="B866" s="146" t="s">
        <v>253</v>
      </c>
      <c r="C866" s="160" t="s">
        <v>64</v>
      </c>
      <c r="D866" s="11" t="s">
        <v>286</v>
      </c>
      <c r="E866" s="11">
        <v>-0.62404137445352703</v>
      </c>
      <c r="F866" s="11">
        <v>0.29477401659268299</v>
      </c>
      <c r="G866" s="11">
        <v>-2.1170162203130101</v>
      </c>
      <c r="H866" s="11">
        <v>-1.21166263692962</v>
      </c>
      <c r="I866" s="11">
        <v>-3.6420111977431002E-2</v>
      </c>
      <c r="J866" s="11">
        <v>3.7714193335671803E-2</v>
      </c>
      <c r="K866" s="11" t="s">
        <v>61</v>
      </c>
    </row>
    <row r="867" spans="1:11" x14ac:dyDescent="0.2">
      <c r="A867" s="196" t="s">
        <v>280</v>
      </c>
      <c r="B867" s="146" t="s">
        <v>253</v>
      </c>
      <c r="C867" s="159" t="s">
        <v>65</v>
      </c>
      <c r="D867" t="s">
        <v>286</v>
      </c>
      <c r="E867">
        <v>0.45203154579285798</v>
      </c>
      <c r="F867">
        <v>0.48029123794335998</v>
      </c>
      <c r="G867">
        <v>0.94116134145708796</v>
      </c>
      <c r="H867">
        <v>-0.52752889217900101</v>
      </c>
      <c r="I867">
        <v>1.43159198376472</v>
      </c>
      <c r="J867">
        <v>0.353898945177334</v>
      </c>
    </row>
    <row r="868" spans="1:11" x14ac:dyDescent="0.2">
      <c r="A868" s="199" t="s">
        <v>280</v>
      </c>
      <c r="B868" s="140" t="s">
        <v>254</v>
      </c>
      <c r="C868" s="42" t="s">
        <v>66</v>
      </c>
      <c r="D868" s="42" t="s">
        <v>286</v>
      </c>
      <c r="E868" s="42">
        <v>-0.12889136367232601</v>
      </c>
      <c r="F868" s="42">
        <v>0.22697056700309301</v>
      </c>
      <c r="G868" s="42">
        <v>-0.56787699556907401</v>
      </c>
      <c r="H868" s="42">
        <v>-0.57893207062798002</v>
      </c>
      <c r="I868" s="42">
        <v>0.321149343283329</v>
      </c>
      <c r="J868" s="42">
        <v>0.57133082382934397</v>
      </c>
      <c r="K868" s="42"/>
    </row>
    <row r="869" spans="1:11" x14ac:dyDescent="0.2">
      <c r="A869" s="196" t="s">
        <v>280</v>
      </c>
      <c r="B869" s="147" t="s">
        <v>254</v>
      </c>
      <c r="C869" s="159" t="s">
        <v>64</v>
      </c>
      <c r="D869" t="s">
        <v>286</v>
      </c>
      <c r="E869">
        <v>-8.3372609192307698E-2</v>
      </c>
      <c r="F869">
        <v>0.27411795789848298</v>
      </c>
      <c r="G869">
        <v>-0.30414865859749302</v>
      </c>
      <c r="H869">
        <v>-0.62981677123068602</v>
      </c>
      <c r="I869">
        <v>0.46307155284607099</v>
      </c>
      <c r="J869">
        <v>0.76189193578006797</v>
      </c>
    </row>
    <row r="870" spans="1:11" x14ac:dyDescent="0.2">
      <c r="A870" s="196" t="s">
        <v>280</v>
      </c>
      <c r="B870" s="147" t="s">
        <v>254</v>
      </c>
      <c r="C870" s="159" t="s">
        <v>65</v>
      </c>
      <c r="D870" t="s">
        <v>286</v>
      </c>
      <c r="E870">
        <v>-0.37237735131428501</v>
      </c>
      <c r="F870">
        <v>0.45725510608182701</v>
      </c>
      <c r="G870">
        <v>-0.81437549053338998</v>
      </c>
      <c r="H870">
        <v>-1.30495528860159</v>
      </c>
      <c r="I870">
        <v>0.56020058597301703</v>
      </c>
      <c r="J870">
        <v>0.42164200906405302</v>
      </c>
    </row>
    <row r="871" spans="1:11" x14ac:dyDescent="0.2">
      <c r="A871" s="199" t="s">
        <v>280</v>
      </c>
      <c r="B871" s="141" t="s">
        <v>255</v>
      </c>
      <c r="C871" s="42" t="s">
        <v>66</v>
      </c>
      <c r="D871" s="42" t="s">
        <v>286</v>
      </c>
      <c r="E871" s="42">
        <v>2.4328723957555198E-2</v>
      </c>
      <c r="F871" s="42">
        <v>0.22301128371512999</v>
      </c>
      <c r="G871" s="42">
        <v>0.10909189684156199</v>
      </c>
      <c r="H871" s="42">
        <v>-0.417861455621445</v>
      </c>
      <c r="I871" s="42">
        <v>0.46651890353655501</v>
      </c>
      <c r="J871" s="42">
        <v>0.913337815656177</v>
      </c>
      <c r="K871" s="42"/>
    </row>
    <row r="872" spans="1:11" x14ac:dyDescent="0.2">
      <c r="A872" s="196" t="s">
        <v>280</v>
      </c>
      <c r="B872" s="148" t="s">
        <v>255</v>
      </c>
      <c r="C872" s="159" t="s">
        <v>64</v>
      </c>
      <c r="D872" t="s">
        <v>286</v>
      </c>
      <c r="E872">
        <v>-0.20839859947115399</v>
      </c>
      <c r="F872">
        <v>0.18090254018825699</v>
      </c>
      <c r="G872">
        <v>-1.15199377108958</v>
      </c>
      <c r="H872">
        <v>-0.569021222453029</v>
      </c>
      <c r="I872">
        <v>0.15222402351072101</v>
      </c>
      <c r="J872">
        <v>0.25313444029250598</v>
      </c>
    </row>
    <row r="873" spans="1:11" x14ac:dyDescent="0.2">
      <c r="A873" s="196" t="s">
        <v>280</v>
      </c>
      <c r="B873" s="148" t="s">
        <v>255</v>
      </c>
      <c r="C873" s="159" t="s">
        <v>65</v>
      </c>
      <c r="D873" t="s">
        <v>286</v>
      </c>
      <c r="E873">
        <v>0.55322438764285997</v>
      </c>
      <c r="F873">
        <v>0.72979097968137696</v>
      </c>
      <c r="G873">
        <v>0.75805868124650599</v>
      </c>
      <c r="H873">
        <v>-0.93519412847611605</v>
      </c>
      <c r="I873">
        <v>2.04164290376184</v>
      </c>
      <c r="J873">
        <v>0.45414051984889803</v>
      </c>
    </row>
    <row r="874" spans="1:11" hidden="1" x14ac:dyDescent="0.2">
      <c r="A874" s="199" t="s">
        <v>280</v>
      </c>
      <c r="B874" s="129" t="s">
        <v>26</v>
      </c>
      <c r="C874" s="42" t="s">
        <v>66</v>
      </c>
      <c r="D874" s="42" t="s">
        <v>286</v>
      </c>
      <c r="E874" s="42">
        <v>-0.36130536612436298</v>
      </c>
      <c r="F874" s="42">
        <v>0.25250540326832399</v>
      </c>
      <c r="G874" s="42">
        <v>-1.43088172153062</v>
      </c>
      <c r="H874" s="42">
        <v>-0.86197693644057405</v>
      </c>
      <c r="I874" s="42">
        <v>0.139366204191848</v>
      </c>
      <c r="J874" s="42">
        <v>0.15543357757967999</v>
      </c>
      <c r="K874" s="42"/>
    </row>
    <row r="875" spans="1:11" hidden="1" x14ac:dyDescent="0.2">
      <c r="A875" s="196" t="s">
        <v>280</v>
      </c>
      <c r="B875" s="150" t="s">
        <v>26</v>
      </c>
      <c r="C875" s="161" t="s">
        <v>64</v>
      </c>
      <c r="D875" s="20" t="s">
        <v>286</v>
      </c>
      <c r="E875" s="20">
        <v>-0.548912319982372</v>
      </c>
      <c r="F875" s="20">
        <v>0.31595364198910197</v>
      </c>
      <c r="G875" s="20">
        <v>-1.7373191729225499</v>
      </c>
      <c r="H875" s="20">
        <v>-1.17875439404177</v>
      </c>
      <c r="I875" s="20">
        <v>8.09297540770305E-2</v>
      </c>
      <c r="J875" s="20">
        <v>8.6606905482456406E-2</v>
      </c>
      <c r="K875" s="20" t="s">
        <v>200</v>
      </c>
    </row>
    <row r="876" spans="1:11" hidden="1" x14ac:dyDescent="0.2">
      <c r="A876" s="196" t="s">
        <v>280</v>
      </c>
      <c r="B876" s="150" t="s">
        <v>26</v>
      </c>
      <c r="C876" s="159" t="s">
        <v>65</v>
      </c>
      <c r="D876" t="s">
        <v>286</v>
      </c>
      <c r="E876">
        <v>0.35857449312857198</v>
      </c>
      <c r="F876">
        <v>0.42169044171522901</v>
      </c>
      <c r="G876">
        <v>0.85032634761667303</v>
      </c>
      <c r="H876">
        <v>-0.50146883296647804</v>
      </c>
      <c r="I876">
        <v>1.2186178192236199</v>
      </c>
      <c r="J876">
        <v>0.40166377697329098</v>
      </c>
    </row>
    <row r="877" spans="1:11" hidden="1" x14ac:dyDescent="0.2">
      <c r="A877" s="199" t="s">
        <v>280</v>
      </c>
      <c r="B877" s="128" t="s">
        <v>17</v>
      </c>
      <c r="C877" s="43" t="s">
        <v>66</v>
      </c>
      <c r="D877" s="43" t="s">
        <v>286</v>
      </c>
      <c r="E877" s="43">
        <v>-0.530296838780559</v>
      </c>
      <c r="F877" s="43">
        <v>0.243337602897153</v>
      </c>
      <c r="G877" s="43">
        <v>-2.1792638394843098</v>
      </c>
      <c r="H877" s="43">
        <v>-1.01279035449371</v>
      </c>
      <c r="I877" s="43">
        <v>-4.78033230674096E-2</v>
      </c>
      <c r="J877" s="43">
        <v>3.15472070983467E-2</v>
      </c>
      <c r="K877" s="43" t="s">
        <v>61</v>
      </c>
    </row>
    <row r="878" spans="1:11" hidden="1" x14ac:dyDescent="0.2">
      <c r="A878" s="196" t="s">
        <v>280</v>
      </c>
      <c r="B878" s="151" t="s">
        <v>17</v>
      </c>
      <c r="C878" s="160" t="s">
        <v>64</v>
      </c>
      <c r="D878" s="11" t="s">
        <v>286</v>
      </c>
      <c r="E878" s="11">
        <v>-0.76576736741666696</v>
      </c>
      <c r="F878" s="11">
        <v>0.311872727576958</v>
      </c>
      <c r="G878" s="11">
        <v>-2.4553841990807199</v>
      </c>
      <c r="H878" s="11">
        <v>-1.3874742872768</v>
      </c>
      <c r="I878" s="11">
        <v>-0.14406044755653899</v>
      </c>
      <c r="J878" s="11">
        <v>1.6489023748721E-2</v>
      </c>
      <c r="K878" s="11" t="s">
        <v>61</v>
      </c>
    </row>
    <row r="879" spans="1:11" hidden="1" x14ac:dyDescent="0.2">
      <c r="A879" s="196" t="s">
        <v>280</v>
      </c>
      <c r="B879" s="151" t="s">
        <v>17</v>
      </c>
      <c r="C879" s="159" t="s">
        <v>65</v>
      </c>
      <c r="D879" t="s">
        <v>286</v>
      </c>
      <c r="E879">
        <v>0.26897701145000102</v>
      </c>
      <c r="F879">
        <v>0.335216153298667</v>
      </c>
      <c r="G879">
        <v>0.80239871737431201</v>
      </c>
      <c r="H879">
        <v>-0.41470084065190999</v>
      </c>
      <c r="I879">
        <v>0.95265486355191298</v>
      </c>
      <c r="J879">
        <v>0.42843121353235197</v>
      </c>
    </row>
    <row r="880" spans="1:11" hidden="1" x14ac:dyDescent="0.2">
      <c r="A880" s="199" t="s">
        <v>280</v>
      </c>
      <c r="B880" s="124" t="s">
        <v>21</v>
      </c>
      <c r="C880" s="41" t="s">
        <v>66</v>
      </c>
      <c r="D880" s="41" t="s">
        <v>286</v>
      </c>
      <c r="E880" s="41">
        <v>-0.45010165126273299</v>
      </c>
      <c r="F880" s="41">
        <v>0.24094485691265399</v>
      </c>
      <c r="G880" s="41">
        <v>-1.8680691384332</v>
      </c>
      <c r="H880" s="41">
        <v>-0.92785079369150603</v>
      </c>
      <c r="I880" s="41">
        <v>2.7647491166040299E-2</v>
      </c>
      <c r="J880" s="41">
        <v>6.4540597243478395E-2</v>
      </c>
      <c r="K880" s="41" t="s">
        <v>200</v>
      </c>
    </row>
    <row r="881" spans="1:11" hidden="1" x14ac:dyDescent="0.2">
      <c r="A881" s="196" t="s">
        <v>280</v>
      </c>
      <c r="B881" s="152" t="s">
        <v>21</v>
      </c>
      <c r="C881" s="160" t="s">
        <v>64</v>
      </c>
      <c r="D881" s="11" t="s">
        <v>286</v>
      </c>
      <c r="E881" s="11">
        <v>-0.75512509261698701</v>
      </c>
      <c r="F881" s="11">
        <v>0.28321570893192299</v>
      </c>
      <c r="G881" s="11">
        <v>-2.6662542676914098</v>
      </c>
      <c r="H881" s="11">
        <v>-1.31970528987909</v>
      </c>
      <c r="I881" s="11">
        <v>-0.190544895354886</v>
      </c>
      <c r="J881" s="11">
        <v>9.4648891940231107E-3</v>
      </c>
      <c r="K881" s="11" t="s">
        <v>61</v>
      </c>
    </row>
    <row r="882" spans="1:11" hidden="1" x14ac:dyDescent="0.2">
      <c r="A882" s="196" t="s">
        <v>280</v>
      </c>
      <c r="B882" s="152" t="s">
        <v>21</v>
      </c>
      <c r="C882" s="159" t="s">
        <v>65</v>
      </c>
      <c r="D882" t="s">
        <v>286</v>
      </c>
      <c r="E882">
        <v>0.48306162865714503</v>
      </c>
      <c r="F882">
        <v>0.47774268429574801</v>
      </c>
      <c r="G882">
        <v>1.0111334920161801</v>
      </c>
      <c r="H882">
        <v>-0.49130099988154702</v>
      </c>
      <c r="I882">
        <v>1.45742425719584</v>
      </c>
      <c r="J882">
        <v>0.31978002866813399</v>
      </c>
    </row>
    <row r="883" spans="1:11" x14ac:dyDescent="0.2">
      <c r="A883" s="199" t="s">
        <v>280</v>
      </c>
      <c r="B883" s="142" t="s">
        <v>29</v>
      </c>
      <c r="C883" s="42" t="s">
        <v>66</v>
      </c>
      <c r="D883" s="42" t="s">
        <v>286</v>
      </c>
      <c r="E883" s="42">
        <v>3.9383840149405998E-2</v>
      </c>
      <c r="F883" s="42">
        <v>0.23616933305592</v>
      </c>
      <c r="G883" s="42">
        <v>0.16676102540409299</v>
      </c>
      <c r="H883" s="42">
        <v>-0.42889632063586097</v>
      </c>
      <c r="I883" s="42">
        <v>0.50766400093467301</v>
      </c>
      <c r="J883" s="42">
        <v>0.86787880606622703</v>
      </c>
      <c r="K883" s="42"/>
    </row>
    <row r="884" spans="1:11" x14ac:dyDescent="0.2">
      <c r="A884" s="196" t="s">
        <v>280</v>
      </c>
      <c r="B884" s="154" t="s">
        <v>29</v>
      </c>
      <c r="C884" s="159" t="s">
        <v>64</v>
      </c>
      <c r="D884" t="s">
        <v>286</v>
      </c>
      <c r="E884">
        <v>0.29688985835096199</v>
      </c>
      <c r="F884">
        <v>0.30475144845666202</v>
      </c>
      <c r="G884">
        <v>0.97420327238635596</v>
      </c>
      <c r="H884">
        <v>-0.31062105103482701</v>
      </c>
      <c r="I884">
        <v>0.90440076773675004</v>
      </c>
      <c r="J884">
        <v>0.33321735915265399</v>
      </c>
    </row>
    <row r="885" spans="1:11" x14ac:dyDescent="0.2">
      <c r="A885" s="196" t="s">
        <v>280</v>
      </c>
      <c r="B885" s="154" t="s">
        <v>29</v>
      </c>
      <c r="C885" s="160" t="s">
        <v>65</v>
      </c>
      <c r="D885" s="11" t="s">
        <v>286</v>
      </c>
      <c r="E885" s="11">
        <v>-0.58990442947857002</v>
      </c>
      <c r="F885" s="11">
        <v>0.27997267677485699</v>
      </c>
      <c r="G885" s="11">
        <v>-2.1070071418181602</v>
      </c>
      <c r="H885" s="11">
        <v>-1.16091246838449</v>
      </c>
      <c r="I885" s="11">
        <v>-1.8896390572654999E-2</v>
      </c>
      <c r="J885" s="11">
        <v>4.3306685165648902E-2</v>
      </c>
      <c r="K885" s="11" t="s">
        <v>61</v>
      </c>
    </row>
    <row r="886" spans="1:11" hidden="1" x14ac:dyDescent="0.2">
      <c r="A886" s="199" t="s">
        <v>280</v>
      </c>
      <c r="B886" s="118" t="s">
        <v>18</v>
      </c>
      <c r="C886" s="41" t="s">
        <v>66</v>
      </c>
      <c r="D886" s="41" t="s">
        <v>286</v>
      </c>
      <c r="E886" s="41">
        <v>-0.41510560222113702</v>
      </c>
      <c r="F886" s="41">
        <v>0.21309923603307299</v>
      </c>
      <c r="G886" s="41">
        <v>-1.9479450510874301</v>
      </c>
      <c r="H886" s="41">
        <v>-0.83764202226157103</v>
      </c>
      <c r="I886" s="41">
        <v>7.4308178192964997E-3</v>
      </c>
      <c r="J886" s="41">
        <v>5.4091267282123497E-2</v>
      </c>
      <c r="K886" s="41" t="s">
        <v>200</v>
      </c>
    </row>
    <row r="887" spans="1:11" hidden="1" x14ac:dyDescent="0.2">
      <c r="A887" s="196" t="s">
        <v>280</v>
      </c>
      <c r="B887" s="155" t="s">
        <v>18</v>
      </c>
      <c r="C887" s="159" t="s">
        <v>64</v>
      </c>
      <c r="D887" t="s">
        <v>286</v>
      </c>
      <c r="E887">
        <v>-0.280497010363782</v>
      </c>
      <c r="F887">
        <v>0.268790024004669</v>
      </c>
      <c r="G887">
        <v>-1.0435543930711899</v>
      </c>
      <c r="H887">
        <v>-0.81632013029925898</v>
      </c>
      <c r="I887">
        <v>0.25532610957169499</v>
      </c>
      <c r="J887">
        <v>0.30018279187451902</v>
      </c>
    </row>
    <row r="888" spans="1:11" hidden="1" x14ac:dyDescent="0.2">
      <c r="A888" s="196" t="s">
        <v>280</v>
      </c>
      <c r="B888" s="155" t="s">
        <v>18</v>
      </c>
      <c r="C888" s="161" t="s">
        <v>65</v>
      </c>
      <c r="D888" s="20" t="s">
        <v>286</v>
      </c>
      <c r="E888" s="20">
        <v>-0.62376295882857102</v>
      </c>
      <c r="F888" s="20">
        <v>0.33393608390282797</v>
      </c>
      <c r="G888" s="20">
        <v>-1.86791122282574</v>
      </c>
      <c r="H888" s="20">
        <v>-1.30483009218535</v>
      </c>
      <c r="I888" s="20">
        <v>5.73041745282062E-2</v>
      </c>
      <c r="J888" s="20">
        <v>7.1253053562798499E-2</v>
      </c>
      <c r="K888" s="20" t="s">
        <v>200</v>
      </c>
    </row>
    <row r="889" spans="1:11" hidden="1" x14ac:dyDescent="0.2">
      <c r="A889" s="199" t="s">
        <v>280</v>
      </c>
      <c r="B889" s="120" t="s">
        <v>14</v>
      </c>
      <c r="C889" s="41" t="s">
        <v>66</v>
      </c>
      <c r="D889" s="41" t="s">
        <v>286</v>
      </c>
      <c r="E889" s="41">
        <v>-0.35376288218802998</v>
      </c>
      <c r="F889" s="41">
        <v>0.21276541128234999</v>
      </c>
      <c r="G889" s="41">
        <v>-1.66268981436353</v>
      </c>
      <c r="H889" s="41">
        <v>-0.77563738941395899</v>
      </c>
      <c r="I889" s="41">
        <v>6.8111625037898499E-2</v>
      </c>
      <c r="J889" s="41">
        <v>9.9356948725339497E-2</v>
      </c>
      <c r="K889" s="41" t="s">
        <v>200</v>
      </c>
    </row>
    <row r="890" spans="1:11" hidden="1" x14ac:dyDescent="0.2">
      <c r="A890" s="196" t="s">
        <v>280</v>
      </c>
      <c r="B890" s="121" t="s">
        <v>14</v>
      </c>
      <c r="C890" s="159" t="s">
        <v>64</v>
      </c>
      <c r="D890" t="s">
        <v>286</v>
      </c>
      <c r="E890">
        <v>-0.19884186260897499</v>
      </c>
      <c r="F890">
        <v>0.26431007620055202</v>
      </c>
      <c r="G890">
        <v>-0.752305267613402</v>
      </c>
      <c r="H890">
        <v>-0.72573436981639805</v>
      </c>
      <c r="I890">
        <v>0.32805064459844802</v>
      </c>
      <c r="J890">
        <v>0.45431999830174702</v>
      </c>
    </row>
    <row r="891" spans="1:11" hidden="1" x14ac:dyDescent="0.2">
      <c r="A891" s="196" t="s">
        <v>280</v>
      </c>
      <c r="B891" s="121" t="s">
        <v>14</v>
      </c>
      <c r="C891" s="161" t="s">
        <v>65</v>
      </c>
      <c r="D891" s="20" t="s">
        <v>286</v>
      </c>
      <c r="E891" s="20">
        <v>-0.60626994560714198</v>
      </c>
      <c r="F891" s="20">
        <v>0.35473440940631601</v>
      </c>
      <c r="G891" s="20">
        <v>-1.7090813000684</v>
      </c>
      <c r="H891" s="20">
        <v>-1.3297555434908099</v>
      </c>
      <c r="I891" s="20">
        <v>0.117215652276528</v>
      </c>
      <c r="J891" s="20">
        <v>9.7430655866447405E-2</v>
      </c>
      <c r="K891" s="20" t="s">
        <v>200</v>
      </c>
    </row>
    <row r="892" spans="1:11" hidden="1" x14ac:dyDescent="0.2">
      <c r="A892" s="192" t="s">
        <v>260</v>
      </c>
      <c r="B892" s="138" t="s">
        <v>252</v>
      </c>
      <c r="C892" s="42" t="s">
        <v>66</v>
      </c>
      <c r="D892" s="42" t="s">
        <v>260</v>
      </c>
      <c r="E892" s="42">
        <v>6.9608637467520898E-2</v>
      </c>
      <c r="F892" s="42">
        <v>7.7930486424290804E-2</v>
      </c>
      <c r="G892" s="42">
        <v>0.89321446152072204</v>
      </c>
      <c r="H892" s="42">
        <v>-8.4913121308840503E-2</v>
      </c>
      <c r="I892" s="42">
        <v>0.22413039624388201</v>
      </c>
      <c r="J892" s="42">
        <v>0.37378498572409902</v>
      </c>
      <c r="K892" s="42"/>
    </row>
    <row r="893" spans="1:11" hidden="1" x14ac:dyDescent="0.2">
      <c r="A893" s="80" t="s">
        <v>260</v>
      </c>
      <c r="B893" s="145" t="s">
        <v>252</v>
      </c>
      <c r="C893" s="159" t="s">
        <v>64</v>
      </c>
      <c r="D893" t="s">
        <v>260</v>
      </c>
      <c r="E893">
        <v>8.5942303343232801E-2</v>
      </c>
      <c r="F893">
        <v>0.11804638587235899</v>
      </c>
      <c r="G893">
        <v>0.72803841225736798</v>
      </c>
      <c r="H893">
        <v>-0.14937886606942399</v>
      </c>
      <c r="I893">
        <v>0.32126347275588901</v>
      </c>
      <c r="J893">
        <v>0.468951207523921</v>
      </c>
    </row>
    <row r="894" spans="1:11" hidden="1" x14ac:dyDescent="0.2">
      <c r="A894" s="80" t="s">
        <v>260</v>
      </c>
      <c r="B894" s="145" t="s">
        <v>252</v>
      </c>
      <c r="C894" s="159" t="s">
        <v>65</v>
      </c>
      <c r="D894" t="s">
        <v>260</v>
      </c>
      <c r="E894">
        <v>2.42195234983933E-3</v>
      </c>
      <c r="F894">
        <v>8.1990160203303505E-2</v>
      </c>
      <c r="G894">
        <v>2.9539548938968201E-2</v>
      </c>
      <c r="H894">
        <v>-0.16479808185699399</v>
      </c>
      <c r="I894">
        <v>0.16964198655667201</v>
      </c>
      <c r="J894">
        <v>0.97662363606239699</v>
      </c>
    </row>
    <row r="895" spans="1:11" hidden="1" x14ac:dyDescent="0.2">
      <c r="A895" s="167" t="s">
        <v>260</v>
      </c>
      <c r="B895" s="139" t="s">
        <v>253</v>
      </c>
      <c r="C895" s="42" t="s">
        <v>66</v>
      </c>
      <c r="D895" s="42" t="s">
        <v>260</v>
      </c>
      <c r="E895" s="42">
        <v>8.3633988003186006E-3</v>
      </c>
      <c r="F895" s="42">
        <v>7.0395200269251404E-2</v>
      </c>
      <c r="G895" s="42">
        <v>0.118806378394121</v>
      </c>
      <c r="H895" s="42">
        <v>-0.13121727949541401</v>
      </c>
      <c r="I895" s="42">
        <v>0.14794407709605201</v>
      </c>
      <c r="J895" s="42">
        <v>0.90565575441181501</v>
      </c>
      <c r="K895" s="42"/>
    </row>
    <row r="896" spans="1:11" hidden="1" x14ac:dyDescent="0.2">
      <c r="A896" s="80" t="s">
        <v>260</v>
      </c>
      <c r="B896" s="146" t="s">
        <v>253</v>
      </c>
      <c r="C896" s="159" t="s">
        <v>64</v>
      </c>
      <c r="D896" t="s">
        <v>260</v>
      </c>
      <c r="E896">
        <v>3.2848875450939299E-2</v>
      </c>
      <c r="F896">
        <v>0.10024845626786</v>
      </c>
      <c r="G896">
        <v>0.32767462636201</v>
      </c>
      <c r="H896">
        <v>-0.16699276973313501</v>
      </c>
      <c r="I896">
        <v>0.232690520635014</v>
      </c>
      <c r="J896">
        <v>0.74410859112151395</v>
      </c>
    </row>
    <row r="897" spans="1:11" hidden="1" x14ac:dyDescent="0.2">
      <c r="A897" s="80" t="s">
        <v>260</v>
      </c>
      <c r="B897" s="146" t="s">
        <v>253</v>
      </c>
      <c r="C897" s="159" t="s">
        <v>65</v>
      </c>
      <c r="D897" t="s">
        <v>260</v>
      </c>
      <c r="E897">
        <v>-4.81103047202545E-3</v>
      </c>
      <c r="F897">
        <v>0.103345367664361</v>
      </c>
      <c r="G897">
        <v>-4.6552937792533201E-2</v>
      </c>
      <c r="H897">
        <v>-0.21558529744627</v>
      </c>
      <c r="I897">
        <v>0.20596323650221901</v>
      </c>
      <c r="J897">
        <v>0.96316815382061405</v>
      </c>
    </row>
    <row r="898" spans="1:11" hidden="1" x14ac:dyDescent="0.2">
      <c r="A898" s="167" t="s">
        <v>260</v>
      </c>
      <c r="B898" s="140" t="s">
        <v>254</v>
      </c>
      <c r="C898" s="42" t="s">
        <v>66</v>
      </c>
      <c r="D898" s="42" t="s">
        <v>260</v>
      </c>
      <c r="E898" s="42">
        <v>-2.3162254379059E-2</v>
      </c>
      <c r="F898" s="42">
        <v>6.4199008946077593E-2</v>
      </c>
      <c r="G898" s="42">
        <v>-0.36078834797143999</v>
      </c>
      <c r="H898" s="42">
        <v>-0.15045702987984699</v>
      </c>
      <c r="I898" s="42">
        <v>0.10413252112172899</v>
      </c>
      <c r="J898" s="42">
        <v>0.71898251200554697</v>
      </c>
      <c r="K898" s="42"/>
    </row>
    <row r="899" spans="1:11" hidden="1" x14ac:dyDescent="0.2">
      <c r="A899" s="80" t="s">
        <v>260</v>
      </c>
      <c r="B899" s="147" t="s">
        <v>254</v>
      </c>
      <c r="C899" s="159" t="s">
        <v>64</v>
      </c>
      <c r="D899" t="s">
        <v>260</v>
      </c>
      <c r="E899">
        <v>-0.117254371773613</v>
      </c>
      <c r="F899">
        <v>8.9516232236264703E-2</v>
      </c>
      <c r="G899">
        <v>-1.3098671474927299</v>
      </c>
      <c r="H899">
        <v>-0.29570171936145001</v>
      </c>
      <c r="I899">
        <v>6.1192975814223498E-2</v>
      </c>
      <c r="J899">
        <v>0.19440478593786001</v>
      </c>
    </row>
    <row r="900" spans="1:11" hidden="1" x14ac:dyDescent="0.2">
      <c r="A900" s="80" t="s">
        <v>260</v>
      </c>
      <c r="B900" s="147" t="s">
        <v>254</v>
      </c>
      <c r="C900" s="159" t="s">
        <v>65</v>
      </c>
      <c r="D900" t="s">
        <v>260</v>
      </c>
      <c r="E900">
        <v>0.133171342941801</v>
      </c>
      <c r="F900">
        <v>9.5085947802031695E-2</v>
      </c>
      <c r="G900">
        <v>1.40053652532404</v>
      </c>
      <c r="H900">
        <v>-6.0757726163789702E-2</v>
      </c>
      <c r="I900">
        <v>0.32710041204739199</v>
      </c>
      <c r="J900">
        <v>0.17128311248775599</v>
      </c>
    </row>
    <row r="901" spans="1:11" hidden="1" x14ac:dyDescent="0.2">
      <c r="A901" s="167" t="s">
        <v>260</v>
      </c>
      <c r="B901" s="141" t="s">
        <v>255</v>
      </c>
      <c r="C901" s="42" t="s">
        <v>66</v>
      </c>
      <c r="D901" s="42" t="s">
        <v>260</v>
      </c>
      <c r="E901" s="42">
        <v>-6.0827537516098904E-3</v>
      </c>
      <c r="F901" s="42">
        <v>6.3022278073845001E-2</v>
      </c>
      <c r="G901" s="42">
        <v>-9.6517516305623802E-2</v>
      </c>
      <c r="H901" s="42">
        <v>-0.13104428930578901</v>
      </c>
      <c r="I901" s="42">
        <v>0.118878781802569</v>
      </c>
      <c r="J901" s="42">
        <v>0.92329354444589595</v>
      </c>
      <c r="K901" s="42"/>
    </row>
    <row r="902" spans="1:11" hidden="1" x14ac:dyDescent="0.2">
      <c r="A902" s="80" t="s">
        <v>260</v>
      </c>
      <c r="B902" s="148" t="s">
        <v>255</v>
      </c>
      <c r="C902" s="160" t="s">
        <v>64</v>
      </c>
      <c r="D902" s="11" t="s">
        <v>260</v>
      </c>
      <c r="E902" s="11">
        <v>0.13494061977623401</v>
      </c>
      <c r="F902" s="11">
        <v>5.8149735496357498E-2</v>
      </c>
      <c r="G902" s="11">
        <v>2.32057151463203</v>
      </c>
      <c r="H902" s="11">
        <v>1.9021240653220899E-2</v>
      </c>
      <c r="I902" s="11">
        <v>0.25085999889924698</v>
      </c>
      <c r="J902" s="11">
        <v>2.3146719817837599E-2</v>
      </c>
      <c r="K902" s="11" t="s">
        <v>61</v>
      </c>
    </row>
    <row r="903" spans="1:11" hidden="1" x14ac:dyDescent="0.2">
      <c r="A903" s="80" t="s">
        <v>260</v>
      </c>
      <c r="B903" s="148" t="s">
        <v>255</v>
      </c>
      <c r="C903" s="159" t="s">
        <v>65</v>
      </c>
      <c r="D903" t="s">
        <v>260</v>
      </c>
      <c r="E903">
        <v>-0.14121452882122101</v>
      </c>
      <c r="F903">
        <v>0.15419627656080701</v>
      </c>
      <c r="G903">
        <v>-0.91581023855354704</v>
      </c>
      <c r="H903">
        <v>-0.45569990825124601</v>
      </c>
      <c r="I903">
        <v>0.17327085060880401</v>
      </c>
      <c r="J903">
        <v>0.36683595950952003</v>
      </c>
    </row>
    <row r="904" spans="1:11" hidden="1" x14ac:dyDescent="0.2">
      <c r="A904" s="167" t="s">
        <v>260</v>
      </c>
      <c r="B904" s="129" t="s">
        <v>26</v>
      </c>
      <c r="C904" s="42" t="s">
        <v>66</v>
      </c>
      <c r="D904" s="42" t="s">
        <v>260</v>
      </c>
      <c r="E904" s="42">
        <v>4.97859975978917E-2</v>
      </c>
      <c r="F904" s="42">
        <v>7.1884675649237395E-2</v>
      </c>
      <c r="G904" s="42">
        <v>0.69258151543763502</v>
      </c>
      <c r="H904" s="42">
        <v>-9.2748035231219203E-2</v>
      </c>
      <c r="I904" s="42">
        <v>0.19232003042700299</v>
      </c>
      <c r="J904" s="42">
        <v>0.49010113493278901</v>
      </c>
      <c r="K904" s="42"/>
    </row>
    <row r="905" spans="1:11" hidden="1" x14ac:dyDescent="0.2">
      <c r="A905" s="80" t="s">
        <v>260</v>
      </c>
      <c r="B905" s="150" t="s">
        <v>26</v>
      </c>
      <c r="C905" s="159" t="s">
        <v>64</v>
      </c>
      <c r="D905" t="s">
        <v>260</v>
      </c>
      <c r="E905">
        <v>6.7124316789951996E-2</v>
      </c>
      <c r="F905">
        <v>0.106203447877159</v>
      </c>
      <c r="G905">
        <v>0.63203519407008302</v>
      </c>
      <c r="H905">
        <v>-0.14458838720703701</v>
      </c>
      <c r="I905">
        <v>0.278837020786941</v>
      </c>
      <c r="J905">
        <v>0.52936574326359698</v>
      </c>
    </row>
    <row r="906" spans="1:11" hidden="1" x14ac:dyDescent="0.2">
      <c r="A906" s="80" t="s">
        <v>260</v>
      </c>
      <c r="B906" s="150" t="s">
        <v>26</v>
      </c>
      <c r="C906" s="159" t="s">
        <v>65</v>
      </c>
      <c r="D906" t="s">
        <v>260</v>
      </c>
      <c r="E906">
        <v>2.28719959688106E-2</v>
      </c>
      <c r="F906">
        <v>9.0414157366970394E-2</v>
      </c>
      <c r="G906">
        <v>0.25296918795558099</v>
      </c>
      <c r="H906">
        <v>-0.16152889372572601</v>
      </c>
      <c r="I906">
        <v>0.20727288566334801</v>
      </c>
      <c r="J906">
        <v>0.80196204334006005</v>
      </c>
    </row>
    <row r="907" spans="1:11" hidden="1" x14ac:dyDescent="0.2">
      <c r="A907" s="167" t="s">
        <v>260</v>
      </c>
      <c r="B907" s="128" t="s">
        <v>17</v>
      </c>
      <c r="C907" s="42" t="s">
        <v>66</v>
      </c>
      <c r="D907" s="42" t="s">
        <v>260</v>
      </c>
      <c r="E907" s="42">
        <v>6.2760133047454397E-2</v>
      </c>
      <c r="F907" s="42">
        <v>7.0036234266864505E-2</v>
      </c>
      <c r="G907" s="42">
        <v>0.89610947396621199</v>
      </c>
      <c r="H907" s="42">
        <v>-7.6108781975972706E-2</v>
      </c>
      <c r="I907" s="42">
        <v>0.201629048070882</v>
      </c>
      <c r="J907" s="42">
        <v>0.37224414577235798</v>
      </c>
      <c r="K907" s="42"/>
    </row>
    <row r="908" spans="1:11" hidden="1" x14ac:dyDescent="0.2">
      <c r="A908" s="80" t="s">
        <v>260</v>
      </c>
      <c r="B908" s="151" t="s">
        <v>17</v>
      </c>
      <c r="C908" s="159" t="s">
        <v>64</v>
      </c>
      <c r="D908" t="s">
        <v>260</v>
      </c>
      <c r="E908">
        <v>0.12926782108003501</v>
      </c>
      <c r="F908">
        <v>0.10612284590380799</v>
      </c>
      <c r="G908">
        <v>1.2180960657350399</v>
      </c>
      <c r="H908">
        <v>-8.2284205819678893E-2</v>
      </c>
      <c r="I908">
        <v>0.34081984797974901</v>
      </c>
      <c r="J908">
        <v>0.227164115700981</v>
      </c>
    </row>
    <row r="909" spans="1:11" hidden="1" x14ac:dyDescent="0.2">
      <c r="A909" s="80" t="s">
        <v>260</v>
      </c>
      <c r="B909" s="151" t="s">
        <v>17</v>
      </c>
      <c r="C909" s="159" t="s">
        <v>65</v>
      </c>
      <c r="D909" t="s">
        <v>260</v>
      </c>
      <c r="E909">
        <v>-2.2945739059163601E-2</v>
      </c>
      <c r="F909">
        <v>7.1739294317691202E-2</v>
      </c>
      <c r="G909">
        <v>-0.31984896530415302</v>
      </c>
      <c r="H909">
        <v>-0.16925899445508399</v>
      </c>
      <c r="I909">
        <v>0.12336751633675699</v>
      </c>
      <c r="J909">
        <v>0.75122860157850202</v>
      </c>
    </row>
    <row r="910" spans="1:11" hidden="1" x14ac:dyDescent="0.2">
      <c r="A910" s="167" t="s">
        <v>260</v>
      </c>
      <c r="B910" s="124" t="s">
        <v>21</v>
      </c>
      <c r="C910" s="42" t="s">
        <v>66</v>
      </c>
      <c r="D910" s="42" t="s">
        <v>260</v>
      </c>
      <c r="E910" s="42">
        <v>3.4835427308995998E-2</v>
      </c>
      <c r="F910" s="42">
        <v>6.9128098293946297E-2</v>
      </c>
      <c r="G910" s="42">
        <v>0.50392572873723396</v>
      </c>
      <c r="H910" s="42">
        <v>-0.102232821836646</v>
      </c>
      <c r="I910" s="42">
        <v>0.171903676454638</v>
      </c>
      <c r="J910" s="42">
        <v>0.61536927889070503</v>
      </c>
      <c r="K910" s="42"/>
    </row>
    <row r="911" spans="1:11" hidden="1" x14ac:dyDescent="0.2">
      <c r="A911" s="80" t="s">
        <v>260</v>
      </c>
      <c r="B911" s="152" t="s">
        <v>21</v>
      </c>
      <c r="C911" s="159" t="s">
        <v>64</v>
      </c>
      <c r="D911" t="s">
        <v>260</v>
      </c>
      <c r="E911">
        <v>0.117204100274967</v>
      </c>
      <c r="F911">
        <v>9.7052961288815701E-2</v>
      </c>
      <c r="G911">
        <v>1.2076303362468701</v>
      </c>
      <c r="H911">
        <v>-7.6267442090931906E-2</v>
      </c>
      <c r="I911">
        <v>0.310675642640866</v>
      </c>
      <c r="J911">
        <v>0.23114150893643001</v>
      </c>
    </row>
    <row r="912" spans="1:11" hidden="1" x14ac:dyDescent="0.2">
      <c r="A912" s="80" t="s">
        <v>260</v>
      </c>
      <c r="B912" s="152" t="s">
        <v>21</v>
      </c>
      <c r="C912" s="159" t="s">
        <v>65</v>
      </c>
      <c r="D912" t="s">
        <v>260</v>
      </c>
      <c r="E912">
        <v>-4.5818540617041097E-2</v>
      </c>
      <c r="F912">
        <v>0.102691357204235</v>
      </c>
      <c r="G912">
        <v>-0.44617718437508003</v>
      </c>
      <c r="H912">
        <v>-0.25525894446377501</v>
      </c>
      <c r="I912">
        <v>0.16362186322969299</v>
      </c>
      <c r="J912">
        <v>0.65857032345649602</v>
      </c>
    </row>
    <row r="913" spans="1:11" hidden="1" x14ac:dyDescent="0.2">
      <c r="A913" s="167" t="s">
        <v>260</v>
      </c>
      <c r="B913" s="142" t="s">
        <v>29</v>
      </c>
      <c r="C913" s="42" t="s">
        <v>66</v>
      </c>
      <c r="D913" s="42" t="s">
        <v>260</v>
      </c>
      <c r="E913" s="42">
        <v>4.5697357642702198E-2</v>
      </c>
      <c r="F913" s="42">
        <v>6.6599572859023001E-2</v>
      </c>
      <c r="G913" s="42">
        <v>0.68615091179989596</v>
      </c>
      <c r="H913" s="42">
        <v>-8.6357292650394796E-2</v>
      </c>
      <c r="I913" s="42">
        <v>0.17775200793579901</v>
      </c>
      <c r="J913" s="42">
        <v>0.49413030569235</v>
      </c>
      <c r="K913" s="42"/>
    </row>
    <row r="914" spans="1:11" hidden="1" x14ac:dyDescent="0.2">
      <c r="A914" s="80" t="s">
        <v>260</v>
      </c>
      <c r="B914" s="154" t="s">
        <v>29</v>
      </c>
      <c r="C914" s="159" t="s">
        <v>64</v>
      </c>
      <c r="D914" t="s">
        <v>260</v>
      </c>
      <c r="E914">
        <v>-6.1523445903538698E-2</v>
      </c>
      <c r="F914">
        <v>0.10103535808721199</v>
      </c>
      <c r="G914">
        <v>-0.60892985454095205</v>
      </c>
      <c r="H914">
        <v>-0.26293375119503098</v>
      </c>
      <c r="I914">
        <v>0.13988685938795301</v>
      </c>
      <c r="J914">
        <v>0.544487489724925</v>
      </c>
    </row>
    <row r="915" spans="1:11" hidden="1" x14ac:dyDescent="0.2">
      <c r="A915" s="80" t="s">
        <v>260</v>
      </c>
      <c r="B915" s="154" t="s">
        <v>29</v>
      </c>
      <c r="C915" s="160" t="s">
        <v>65</v>
      </c>
      <c r="D915" s="11" t="s">
        <v>260</v>
      </c>
      <c r="E915" s="11">
        <v>0.14043069801157601</v>
      </c>
      <c r="F915" s="11">
        <v>5.82901424161721E-2</v>
      </c>
      <c r="G915" s="11">
        <v>2.4091671797427998</v>
      </c>
      <c r="H915" s="11">
        <v>2.1547168761431101E-2</v>
      </c>
      <c r="I915" s="11">
        <v>0.25931422726171999</v>
      </c>
      <c r="J915" s="11">
        <v>2.2119124623244099E-2</v>
      </c>
      <c r="K915" s="11" t="s">
        <v>61</v>
      </c>
    </row>
    <row r="916" spans="1:11" hidden="1" x14ac:dyDescent="0.2">
      <c r="A916" s="167" t="s">
        <v>260</v>
      </c>
      <c r="B916" s="118" t="s">
        <v>18</v>
      </c>
      <c r="C916" s="43" t="s">
        <v>66</v>
      </c>
      <c r="D916" s="43" t="s">
        <v>260</v>
      </c>
      <c r="E916" s="43">
        <v>0.13906188174710199</v>
      </c>
      <c r="F916" s="43">
        <v>5.9777758900232E-2</v>
      </c>
      <c r="G916" s="43">
        <v>2.32631474156122</v>
      </c>
      <c r="H916" s="43">
        <v>2.0533628366484199E-2</v>
      </c>
      <c r="I916" s="43">
        <v>0.25759013512772</v>
      </c>
      <c r="J916" s="43">
        <v>2.1922442557453601E-2</v>
      </c>
      <c r="K916" s="43" t="s">
        <v>61</v>
      </c>
    </row>
    <row r="917" spans="1:11" hidden="1" x14ac:dyDescent="0.2">
      <c r="A917" s="80" t="s">
        <v>260</v>
      </c>
      <c r="B917" s="155" t="s">
        <v>18</v>
      </c>
      <c r="C917" s="159" t="s">
        <v>64</v>
      </c>
      <c r="D917" t="s">
        <v>260</v>
      </c>
      <c r="E917">
        <v>4.4124780970380098E-2</v>
      </c>
      <c r="F917">
        <v>8.9276432559763197E-2</v>
      </c>
      <c r="G917">
        <v>0.49424892667885501</v>
      </c>
      <c r="H917">
        <v>-0.133844534699053</v>
      </c>
      <c r="I917">
        <v>0.222094096639814</v>
      </c>
      <c r="J917">
        <v>0.62263501095446805</v>
      </c>
    </row>
    <row r="918" spans="1:11" hidden="1" x14ac:dyDescent="0.2">
      <c r="A918" s="80" t="s">
        <v>260</v>
      </c>
      <c r="B918" s="155" t="s">
        <v>18</v>
      </c>
      <c r="C918" s="162" t="s">
        <v>65</v>
      </c>
      <c r="D918" s="10" t="s">
        <v>260</v>
      </c>
      <c r="E918" s="10">
        <v>0.23294558206044999</v>
      </c>
      <c r="F918" s="10">
        <v>6.1922913477764699E-2</v>
      </c>
      <c r="G918" s="10">
        <v>3.7618640496315798</v>
      </c>
      <c r="H918" s="10">
        <v>0.106652967382508</v>
      </c>
      <c r="I918" s="10">
        <v>0.35923819673839302</v>
      </c>
      <c r="J918" s="10">
        <v>7.0477676133742502E-4</v>
      </c>
      <c r="K918" s="10" t="s">
        <v>242</v>
      </c>
    </row>
    <row r="919" spans="1:11" hidden="1" x14ac:dyDescent="0.2">
      <c r="A919" s="167" t="s">
        <v>260</v>
      </c>
      <c r="B919" s="120" t="s">
        <v>14</v>
      </c>
      <c r="C919" s="41" t="s">
        <v>66</v>
      </c>
      <c r="D919" s="41" t="s">
        <v>260</v>
      </c>
      <c r="E919" s="41">
        <v>0.115563434691004</v>
      </c>
      <c r="F919" s="41">
        <v>5.9859332362414697E-2</v>
      </c>
      <c r="G919" s="41">
        <v>1.9305834216681901</v>
      </c>
      <c r="H919" s="41">
        <v>-3.1265637963659599E-3</v>
      </c>
      <c r="I919" s="41">
        <v>0.23425343317837399</v>
      </c>
      <c r="J919" s="41">
        <v>5.6231783562488702E-2</v>
      </c>
      <c r="K919" s="41" t="s">
        <v>200</v>
      </c>
    </row>
    <row r="920" spans="1:11" hidden="1" x14ac:dyDescent="0.2">
      <c r="A920" s="80" t="s">
        <v>260</v>
      </c>
      <c r="B920" s="121" t="s">
        <v>14</v>
      </c>
      <c r="C920" s="159" t="s">
        <v>64</v>
      </c>
      <c r="D920" t="s">
        <v>260</v>
      </c>
      <c r="E920">
        <v>1.59539852740062E-2</v>
      </c>
      <c r="F920">
        <v>8.76018626033951E-2</v>
      </c>
      <c r="G920">
        <v>0.182119247238333</v>
      </c>
      <c r="H920">
        <v>-0.158677136197581</v>
      </c>
      <c r="I920">
        <v>0.19058510674559301</v>
      </c>
      <c r="J920">
        <v>0.85600092801044303</v>
      </c>
    </row>
    <row r="921" spans="1:11" hidden="1" x14ac:dyDescent="0.2">
      <c r="A921" s="80" t="s">
        <v>260</v>
      </c>
      <c r="B921" s="121" t="s">
        <v>14</v>
      </c>
      <c r="C921" s="160" t="s">
        <v>65</v>
      </c>
      <c r="D921" s="11" t="s">
        <v>260</v>
      </c>
      <c r="E921" s="11">
        <v>0.20463711268392301</v>
      </c>
      <c r="F921" s="11">
        <v>6.9624463336221895E-2</v>
      </c>
      <c r="G921" s="11">
        <v>2.9391553324542601</v>
      </c>
      <c r="H921" s="11">
        <v>6.2637083511564703E-2</v>
      </c>
      <c r="I921" s="11">
        <v>0.34663714185628097</v>
      </c>
      <c r="J921" s="11">
        <v>6.1666768533836999E-3</v>
      </c>
      <c r="K921" s="11" t="s">
        <v>61</v>
      </c>
    </row>
    <row r="922" spans="1:11" hidden="1" x14ac:dyDescent="0.2">
      <c r="A922" s="190" t="s">
        <v>261</v>
      </c>
      <c r="B922" s="138" t="s">
        <v>252</v>
      </c>
      <c r="C922" s="115" t="s">
        <v>66</v>
      </c>
      <c r="D922" s="42" t="s">
        <v>273</v>
      </c>
      <c r="E922" s="42">
        <v>-0.29552160354574503</v>
      </c>
      <c r="F922" s="42">
        <v>0.25136949749749299</v>
      </c>
      <c r="G922" s="42">
        <v>-1.1756462358711299</v>
      </c>
      <c r="H922" s="42">
        <v>-0.79394088254996098</v>
      </c>
      <c r="I922" s="42">
        <v>0.20289767545847101</v>
      </c>
      <c r="J922" s="42">
        <v>0.24239511539946201</v>
      </c>
      <c r="K922" s="42"/>
    </row>
    <row r="923" spans="1:11" hidden="1" x14ac:dyDescent="0.2">
      <c r="A923" s="188" t="s">
        <v>261</v>
      </c>
      <c r="B923" s="145" t="s">
        <v>252</v>
      </c>
      <c r="C923" s="159" t="s">
        <v>64</v>
      </c>
      <c r="D923" t="s">
        <v>273</v>
      </c>
      <c r="E923">
        <v>-0.31922469448691898</v>
      </c>
      <c r="F923">
        <v>0.35381909106144099</v>
      </c>
      <c r="G923">
        <v>-0.90222574912297604</v>
      </c>
      <c r="H923">
        <v>-1.0245501617073201</v>
      </c>
      <c r="I923">
        <v>0.38610077273348298</v>
      </c>
      <c r="J923">
        <v>0.36994537075061301</v>
      </c>
    </row>
    <row r="924" spans="1:11" hidden="1" x14ac:dyDescent="0.2">
      <c r="A924" s="188" t="s">
        <v>261</v>
      </c>
      <c r="B924" s="145" t="s">
        <v>252</v>
      </c>
      <c r="C924" s="159" t="s">
        <v>65</v>
      </c>
      <c r="D924" t="s">
        <v>273</v>
      </c>
      <c r="E924">
        <v>-0.1335340991</v>
      </c>
      <c r="F924">
        <v>0.28255466988720002</v>
      </c>
      <c r="G924">
        <v>-0.47259561894096103</v>
      </c>
      <c r="H924">
        <v>-0.70980814767704203</v>
      </c>
      <c r="I924">
        <v>0.44273994947704198</v>
      </c>
      <c r="J924">
        <v>0.63981210546161804</v>
      </c>
    </row>
    <row r="925" spans="1:11" hidden="1" x14ac:dyDescent="0.2">
      <c r="A925" s="190" t="s">
        <v>261</v>
      </c>
      <c r="B925" s="139" t="s">
        <v>253</v>
      </c>
      <c r="C925" s="115" t="s">
        <v>66</v>
      </c>
      <c r="D925" s="42" t="s">
        <v>273</v>
      </c>
      <c r="E925" s="42">
        <v>-6.3601608840780102E-2</v>
      </c>
      <c r="F925" s="42">
        <v>0.227620832903875</v>
      </c>
      <c r="G925" s="42">
        <v>-0.27941910250209501</v>
      </c>
      <c r="H925" s="42">
        <v>-0.51493167295653297</v>
      </c>
      <c r="I925" s="42">
        <v>0.38772845527497302</v>
      </c>
      <c r="J925" s="42">
        <v>0.78047286443678199</v>
      </c>
      <c r="K925" s="42"/>
    </row>
    <row r="926" spans="1:11" hidden="1" x14ac:dyDescent="0.2">
      <c r="A926" s="188" t="s">
        <v>261</v>
      </c>
      <c r="B926" s="146" t="s">
        <v>253</v>
      </c>
      <c r="C926" s="159" t="s">
        <v>64</v>
      </c>
      <c r="D926" t="s">
        <v>273</v>
      </c>
      <c r="E926">
        <v>-0.186571755587077</v>
      </c>
      <c r="F926">
        <v>0.30048219416723698</v>
      </c>
      <c r="G926">
        <v>-0.62090785813164595</v>
      </c>
      <c r="H926">
        <v>-0.78557206209008201</v>
      </c>
      <c r="I926">
        <v>0.412428550915929</v>
      </c>
      <c r="J926">
        <v>0.53662095282432498</v>
      </c>
    </row>
    <row r="927" spans="1:11" hidden="1" x14ac:dyDescent="0.2">
      <c r="A927" s="188" t="s">
        <v>261</v>
      </c>
      <c r="B927" s="146" t="s">
        <v>253</v>
      </c>
      <c r="C927" s="159" t="s">
        <v>65</v>
      </c>
      <c r="D927" t="s">
        <v>273</v>
      </c>
      <c r="E927">
        <v>0.127778197438462</v>
      </c>
      <c r="F927">
        <v>0.356699657642912</v>
      </c>
      <c r="G927">
        <v>0.35822349335243597</v>
      </c>
      <c r="H927">
        <v>-0.59971555064925197</v>
      </c>
      <c r="I927">
        <v>0.85527194552617503</v>
      </c>
      <c r="J927">
        <v>0.72260398021657501</v>
      </c>
    </row>
    <row r="928" spans="1:11" hidden="1" x14ac:dyDescent="0.2">
      <c r="A928" s="190" t="s">
        <v>261</v>
      </c>
      <c r="B928" s="140" t="s">
        <v>254</v>
      </c>
      <c r="C928" s="115" t="s">
        <v>66</v>
      </c>
      <c r="D928" s="42" t="s">
        <v>273</v>
      </c>
      <c r="E928" s="42">
        <v>-1.76665023953901E-2</v>
      </c>
      <c r="F928" s="42">
        <v>0.20777035301823901</v>
      </c>
      <c r="G928" s="42">
        <v>-8.5028985794904394E-2</v>
      </c>
      <c r="H928" s="42">
        <v>-0.429636731801743</v>
      </c>
      <c r="I928" s="42">
        <v>0.394303727010962</v>
      </c>
      <c r="J928" s="42">
        <v>0.932400263075155</v>
      </c>
      <c r="K928" s="42"/>
    </row>
    <row r="929" spans="1:11" hidden="1" x14ac:dyDescent="0.2">
      <c r="A929" s="188" t="s">
        <v>261</v>
      </c>
      <c r="B929" s="147" t="s">
        <v>254</v>
      </c>
      <c r="C929" s="159" t="s">
        <v>64</v>
      </c>
      <c r="D929" t="s">
        <v>273</v>
      </c>
      <c r="E929">
        <v>0.133124124490938</v>
      </c>
      <c r="F929">
        <v>0.27156214218709201</v>
      </c>
      <c r="G929">
        <v>0.49021606406103002</v>
      </c>
      <c r="H929">
        <v>-0.40822511204368001</v>
      </c>
      <c r="I929">
        <v>0.674473361025556</v>
      </c>
      <c r="J929">
        <v>0.625471564229094</v>
      </c>
    </row>
    <row r="930" spans="1:11" hidden="1" x14ac:dyDescent="0.2">
      <c r="A930" s="188" t="s">
        <v>261</v>
      </c>
      <c r="B930" s="147" t="s">
        <v>254</v>
      </c>
      <c r="C930" s="159" t="s">
        <v>65</v>
      </c>
      <c r="D930" t="s">
        <v>273</v>
      </c>
      <c r="E930">
        <v>-0.37149490097307702</v>
      </c>
      <c r="F930">
        <v>0.33247469948254299</v>
      </c>
      <c r="G930">
        <v>-1.1173629197988999</v>
      </c>
      <c r="H930">
        <v>-1.04958152115433</v>
      </c>
      <c r="I930">
        <v>0.30659171920817402</v>
      </c>
      <c r="J930">
        <v>0.27242442520424398</v>
      </c>
    </row>
    <row r="931" spans="1:11" hidden="1" x14ac:dyDescent="0.2">
      <c r="A931" s="190" t="s">
        <v>261</v>
      </c>
      <c r="B931" s="141" t="s">
        <v>255</v>
      </c>
      <c r="C931" s="115" t="s">
        <v>66</v>
      </c>
      <c r="D931" s="42" t="s">
        <v>273</v>
      </c>
      <c r="E931" s="42">
        <v>-3.2358589335461499E-2</v>
      </c>
      <c r="F931" s="42">
        <v>0.20382733291855801</v>
      </c>
      <c r="G931" s="42">
        <v>-0.15875490726452701</v>
      </c>
      <c r="H931" s="42">
        <v>-0.43651053826328601</v>
      </c>
      <c r="I931" s="42">
        <v>0.37179335959236298</v>
      </c>
      <c r="J931" s="42">
        <v>0.87416692261923801</v>
      </c>
      <c r="K931" s="42"/>
    </row>
    <row r="932" spans="1:11" hidden="1" x14ac:dyDescent="0.2">
      <c r="A932" s="188" t="s">
        <v>261</v>
      </c>
      <c r="B932" s="148" t="s">
        <v>255</v>
      </c>
      <c r="C932" s="160" t="s">
        <v>64</v>
      </c>
      <c r="D932" s="11" t="s">
        <v>273</v>
      </c>
      <c r="E932" s="11">
        <v>-0.35217127483609201</v>
      </c>
      <c r="F932" s="11">
        <v>0.17622376886798899</v>
      </c>
      <c r="G932" s="11">
        <v>-1.9984323176058401</v>
      </c>
      <c r="H932" s="11">
        <v>-0.70346693765427104</v>
      </c>
      <c r="I932" s="11">
        <v>-8.7561201791230803E-4</v>
      </c>
      <c r="J932" s="11">
        <v>4.94466521728174E-2</v>
      </c>
      <c r="K932" s="11" t="s">
        <v>61</v>
      </c>
    </row>
    <row r="933" spans="1:11" hidden="1" x14ac:dyDescent="0.2">
      <c r="A933" s="188" t="s">
        <v>261</v>
      </c>
      <c r="B933" s="148" t="s">
        <v>255</v>
      </c>
      <c r="C933" s="159" t="s">
        <v>65</v>
      </c>
      <c r="D933" t="s">
        <v>273</v>
      </c>
      <c r="E933">
        <v>0.39734958887307698</v>
      </c>
      <c r="F933">
        <v>0.53572835136007102</v>
      </c>
      <c r="G933">
        <v>0.74169975858905501</v>
      </c>
      <c r="H933">
        <v>-0.69527558734156703</v>
      </c>
      <c r="I933">
        <v>1.48997476508772</v>
      </c>
      <c r="J933">
        <v>0.46385178279634598</v>
      </c>
    </row>
    <row r="934" spans="1:11" hidden="1" x14ac:dyDescent="0.2">
      <c r="A934" s="190" t="s">
        <v>261</v>
      </c>
      <c r="B934" s="129" t="s">
        <v>26</v>
      </c>
      <c r="C934" s="115" t="s">
        <v>66</v>
      </c>
      <c r="D934" s="42" t="s">
        <v>273</v>
      </c>
      <c r="E934" s="42">
        <v>-0.336149204987234</v>
      </c>
      <c r="F934" s="42">
        <v>0.23071773645954499</v>
      </c>
      <c r="G934" s="42">
        <v>-1.4569716665288801</v>
      </c>
      <c r="H934" s="42">
        <v>-0.79361985677463998</v>
      </c>
      <c r="I934" s="42">
        <v>0.121321446800171</v>
      </c>
      <c r="J934" s="42">
        <v>0.148108304833727</v>
      </c>
      <c r="K934" s="42"/>
    </row>
    <row r="935" spans="1:11" hidden="1" x14ac:dyDescent="0.2">
      <c r="A935" s="188" t="s">
        <v>261</v>
      </c>
      <c r="B935" s="150" t="s">
        <v>26</v>
      </c>
      <c r="C935" s="159" t="s">
        <v>64</v>
      </c>
      <c r="D935" t="s">
        <v>273</v>
      </c>
      <c r="E935">
        <v>-0.38620309666430302</v>
      </c>
      <c r="F935">
        <v>0.31657336337944703</v>
      </c>
      <c r="G935">
        <v>-1.2199481742290399</v>
      </c>
      <c r="H935">
        <v>-1.01728056273684</v>
      </c>
      <c r="I935">
        <v>0.24487436940823501</v>
      </c>
      <c r="J935">
        <v>0.22646545986774499</v>
      </c>
    </row>
    <row r="936" spans="1:11" hidden="1" x14ac:dyDescent="0.2">
      <c r="A936" s="188" t="s">
        <v>261</v>
      </c>
      <c r="B936" s="150" t="s">
        <v>26</v>
      </c>
      <c r="C936" s="159" t="s">
        <v>65</v>
      </c>
      <c r="D936" t="s">
        <v>273</v>
      </c>
      <c r="E936">
        <v>-0.25024566491538403</v>
      </c>
      <c r="F936">
        <v>0.309780542975574</v>
      </c>
      <c r="G936">
        <v>-0.80781595419669605</v>
      </c>
      <c r="H936">
        <v>-0.88204724774604903</v>
      </c>
      <c r="I936">
        <v>0.38155591791527999</v>
      </c>
      <c r="J936">
        <v>0.42535214538810001</v>
      </c>
    </row>
    <row r="937" spans="1:11" hidden="1" x14ac:dyDescent="0.2">
      <c r="A937" s="190" t="s">
        <v>261</v>
      </c>
      <c r="B937" s="128" t="s">
        <v>17</v>
      </c>
      <c r="C937" s="115" t="s">
        <v>66</v>
      </c>
      <c r="D937" s="42" t="s">
        <v>273</v>
      </c>
      <c r="E937" s="42">
        <v>-0.26814222406844002</v>
      </c>
      <c r="F937" s="42">
        <v>0.22588294915976601</v>
      </c>
      <c r="G937" s="42">
        <v>-1.18708483781476</v>
      </c>
      <c r="H937" s="42">
        <v>-0.71602638575229405</v>
      </c>
      <c r="I937" s="42">
        <v>0.17974193761541499</v>
      </c>
      <c r="J937" s="42">
        <v>0.23787288057659101</v>
      </c>
      <c r="K937" s="42"/>
    </row>
    <row r="938" spans="1:11" hidden="1" x14ac:dyDescent="0.2">
      <c r="A938" s="188" t="s">
        <v>261</v>
      </c>
      <c r="B938" s="151" t="s">
        <v>17</v>
      </c>
      <c r="C938" s="159" t="s">
        <v>64</v>
      </c>
      <c r="D938" t="s">
        <v>273</v>
      </c>
      <c r="E938">
        <v>-0.40644553188100901</v>
      </c>
      <c r="F938">
        <v>0.31838697222901702</v>
      </c>
      <c r="G938">
        <v>-1.27657714458446</v>
      </c>
      <c r="H938">
        <v>-1.0411383611193401</v>
      </c>
      <c r="I938">
        <v>0.22824729735732099</v>
      </c>
      <c r="J938">
        <v>0.20585372224983001</v>
      </c>
    </row>
    <row r="939" spans="1:11" hidden="1" x14ac:dyDescent="0.2">
      <c r="A939" s="188" t="s">
        <v>261</v>
      </c>
      <c r="B939" s="151" t="s">
        <v>17</v>
      </c>
      <c r="C939" s="159" t="s">
        <v>65</v>
      </c>
      <c r="D939" t="s">
        <v>273</v>
      </c>
      <c r="E939">
        <v>-2.7163744907692099E-2</v>
      </c>
      <c r="F939">
        <v>0.24847480062632099</v>
      </c>
      <c r="G939">
        <v>-0.109321930591036</v>
      </c>
      <c r="H939">
        <v>-0.53393144187574004</v>
      </c>
      <c r="I939">
        <v>0.479603952060356</v>
      </c>
      <c r="J939">
        <v>0.91365176695523398</v>
      </c>
    </row>
    <row r="940" spans="1:11" hidden="1" x14ac:dyDescent="0.2">
      <c r="A940" s="190" t="s">
        <v>261</v>
      </c>
      <c r="B940" s="124" t="s">
        <v>21</v>
      </c>
      <c r="C940" s="115" t="s">
        <v>66</v>
      </c>
      <c r="D940" s="42" t="s">
        <v>273</v>
      </c>
      <c r="E940" s="42">
        <v>-0.18562236361808501</v>
      </c>
      <c r="F940" s="42">
        <v>0.22312783742692099</v>
      </c>
      <c r="G940" s="42">
        <v>-0.83191037818793301</v>
      </c>
      <c r="H940" s="42">
        <v>-0.62804364767704202</v>
      </c>
      <c r="I940" s="42">
        <v>0.25679892044087099</v>
      </c>
      <c r="J940" s="42">
        <v>0.40734753665231699</v>
      </c>
      <c r="K940" s="42"/>
    </row>
    <row r="941" spans="1:11" hidden="1" x14ac:dyDescent="0.2">
      <c r="A941" s="188" t="s">
        <v>261</v>
      </c>
      <c r="B941" s="152" t="s">
        <v>21</v>
      </c>
      <c r="C941" s="159" t="s">
        <v>64</v>
      </c>
      <c r="D941" t="s">
        <v>273</v>
      </c>
      <c r="E941">
        <v>-0.36051882871788798</v>
      </c>
      <c r="F941">
        <v>0.291319677381498</v>
      </c>
      <c r="G941">
        <v>-1.2375368253815899</v>
      </c>
      <c r="H941">
        <v>-0.94125399182959402</v>
      </c>
      <c r="I941">
        <v>0.22021633439381699</v>
      </c>
      <c r="J941">
        <v>0.21990852685568801</v>
      </c>
    </row>
    <row r="942" spans="1:11" hidden="1" x14ac:dyDescent="0.2">
      <c r="A942" s="188" t="s">
        <v>261</v>
      </c>
      <c r="B942" s="152" t="s">
        <v>21</v>
      </c>
      <c r="C942" s="159" t="s">
        <v>65</v>
      </c>
      <c r="D942" t="s">
        <v>273</v>
      </c>
      <c r="E942">
        <v>4.5033596342307802E-2</v>
      </c>
      <c r="F942">
        <v>0.35620949431493698</v>
      </c>
      <c r="G942">
        <v>0.12642446947944599</v>
      </c>
      <c r="H942">
        <v>-0.68146045704707103</v>
      </c>
      <c r="I942">
        <v>0.77152764973168697</v>
      </c>
      <c r="J942">
        <v>0.90021236908165803</v>
      </c>
    </row>
    <row r="943" spans="1:11" hidden="1" x14ac:dyDescent="0.2">
      <c r="A943" s="190" t="s">
        <v>261</v>
      </c>
      <c r="B943" s="142" t="s">
        <v>29</v>
      </c>
      <c r="C943" s="115" t="s">
        <v>66</v>
      </c>
      <c r="D943" s="42" t="s">
        <v>273</v>
      </c>
      <c r="E943" s="42">
        <v>-8.9963087607801501E-2</v>
      </c>
      <c r="F943" s="42">
        <v>0.215717166348671</v>
      </c>
      <c r="G943" s="42">
        <v>-0.41704185684689998</v>
      </c>
      <c r="H943" s="42">
        <v>-0.51769037986373401</v>
      </c>
      <c r="I943" s="42">
        <v>0.33776420464813101</v>
      </c>
      <c r="J943" s="42">
        <v>0.67749920585844403</v>
      </c>
      <c r="K943" s="42"/>
    </row>
    <row r="944" spans="1:11" hidden="1" x14ac:dyDescent="0.2">
      <c r="A944" s="188" t="s">
        <v>261</v>
      </c>
      <c r="B944" s="154" t="s">
        <v>29</v>
      </c>
      <c r="C944" s="159" t="s">
        <v>64</v>
      </c>
      <c r="D944" t="s">
        <v>273</v>
      </c>
      <c r="E944">
        <v>0.171035735344366</v>
      </c>
      <c r="F944">
        <v>0.303536151663719</v>
      </c>
      <c r="G944">
        <v>0.56347731368042298</v>
      </c>
      <c r="H944">
        <v>-0.43405252416201001</v>
      </c>
      <c r="I944">
        <v>0.77612399485074102</v>
      </c>
      <c r="J944">
        <v>0.57486067222787496</v>
      </c>
    </row>
    <row r="945" spans="1:11" hidden="1" x14ac:dyDescent="0.2">
      <c r="A945" s="188" t="s">
        <v>261</v>
      </c>
      <c r="B945" s="154" t="s">
        <v>29</v>
      </c>
      <c r="C945" s="160" t="s">
        <v>65</v>
      </c>
      <c r="D945" s="11" t="s">
        <v>273</v>
      </c>
      <c r="E945" s="11">
        <v>-0.42239651630000002</v>
      </c>
      <c r="F945" s="11">
        <v>0.20614592794617401</v>
      </c>
      <c r="G945" s="11">
        <v>-2.0490170264740399</v>
      </c>
      <c r="H945" s="11">
        <v>-0.84283390826608595</v>
      </c>
      <c r="I945" s="11">
        <v>-1.9591243339136498E-3</v>
      </c>
      <c r="J945" s="11">
        <v>4.9005562965746499E-2</v>
      </c>
      <c r="K945" s="11" t="s">
        <v>61</v>
      </c>
    </row>
    <row r="946" spans="1:11" hidden="1" x14ac:dyDescent="0.2">
      <c r="A946" s="190" t="s">
        <v>261</v>
      </c>
      <c r="B946" s="118" t="s">
        <v>18</v>
      </c>
      <c r="C946" s="115" t="s">
        <v>66</v>
      </c>
      <c r="D946" s="42" t="s">
        <v>273</v>
      </c>
      <c r="E946" s="42">
        <v>-0.28960488199432599</v>
      </c>
      <c r="F946" s="42">
        <v>0.19624382254540201</v>
      </c>
      <c r="G946" s="42">
        <v>-1.47574011878679</v>
      </c>
      <c r="H946" s="42">
        <v>-0.67872013072527504</v>
      </c>
      <c r="I946" s="42">
        <v>9.95103667366221E-2</v>
      </c>
      <c r="J946" s="42">
        <v>0.14300623333514201</v>
      </c>
      <c r="K946" s="42"/>
    </row>
    <row r="947" spans="1:11" hidden="1" x14ac:dyDescent="0.2">
      <c r="A947" s="188" t="s">
        <v>261</v>
      </c>
      <c r="B947" s="155" t="s">
        <v>18</v>
      </c>
      <c r="C947" s="159" t="s">
        <v>64</v>
      </c>
      <c r="D947" t="s">
        <v>273</v>
      </c>
      <c r="E947">
        <v>2.2141899574468502E-3</v>
      </c>
      <c r="F947">
        <v>0.26856486879004199</v>
      </c>
      <c r="G947">
        <v>8.2445256798567308E-3</v>
      </c>
      <c r="H947">
        <v>-0.53316009126082797</v>
      </c>
      <c r="I947">
        <v>0.53758847117572095</v>
      </c>
      <c r="J947">
        <v>0.99344469610527297</v>
      </c>
    </row>
    <row r="948" spans="1:11" hidden="1" x14ac:dyDescent="0.2">
      <c r="A948" s="188" t="s">
        <v>261</v>
      </c>
      <c r="B948" s="155" t="s">
        <v>18</v>
      </c>
      <c r="C948" s="160" t="s">
        <v>65</v>
      </c>
      <c r="D948" s="11" t="s">
        <v>273</v>
      </c>
      <c r="E948" s="11">
        <v>-0.70345051536153802</v>
      </c>
      <c r="F948" s="11">
        <v>0.225479886962134</v>
      </c>
      <c r="G948" s="11">
        <v>-3.1197927444396498</v>
      </c>
      <c r="H948" s="11">
        <v>-1.1633197767127501</v>
      </c>
      <c r="I948" s="11">
        <v>-0.24358125401032399</v>
      </c>
      <c r="J948" s="11">
        <v>3.8944886915571399E-3</v>
      </c>
      <c r="K948" s="11" t="s">
        <v>61</v>
      </c>
    </row>
    <row r="949" spans="1:11" hidden="1" x14ac:dyDescent="0.2">
      <c r="A949" s="190" t="s">
        <v>261</v>
      </c>
      <c r="B949" s="120" t="s">
        <v>14</v>
      </c>
      <c r="C949" s="115" t="s">
        <v>66</v>
      </c>
      <c r="D949" s="42" t="s">
        <v>273</v>
      </c>
      <c r="E949" s="42">
        <v>-3.9617738957446802E-2</v>
      </c>
      <c r="F949" s="42">
        <v>0.19698073847714601</v>
      </c>
      <c r="G949" s="42">
        <v>-0.201124938731222</v>
      </c>
      <c r="H949" s="42">
        <v>-0.43019415585336002</v>
      </c>
      <c r="I949" s="42">
        <v>0.35095867793846602</v>
      </c>
      <c r="J949" s="42">
        <v>0.84098997743579795</v>
      </c>
      <c r="K949" s="42"/>
    </row>
    <row r="950" spans="1:11" hidden="1" x14ac:dyDescent="0.2">
      <c r="A950" s="188" t="s">
        <v>261</v>
      </c>
      <c r="B950" s="121" t="s">
        <v>14</v>
      </c>
      <c r="C950" s="159" t="s">
        <v>64</v>
      </c>
      <c r="D950" t="s">
        <v>273</v>
      </c>
      <c r="E950">
        <v>0.35388172397714801</v>
      </c>
      <c r="F950">
        <v>0.259816202893764</v>
      </c>
      <c r="G950">
        <v>1.36204640063132</v>
      </c>
      <c r="H950">
        <v>-0.164052410519999</v>
      </c>
      <c r="I950">
        <v>0.87181585847429399</v>
      </c>
      <c r="J950">
        <v>0.17742946571297799</v>
      </c>
    </row>
    <row r="951" spans="1:11" hidden="1" x14ac:dyDescent="0.2">
      <c r="A951" s="188" t="s">
        <v>261</v>
      </c>
      <c r="B951" s="121" t="s">
        <v>14</v>
      </c>
      <c r="C951" s="160" t="s">
        <v>65</v>
      </c>
      <c r="D951" s="11" t="s">
        <v>273</v>
      </c>
      <c r="E951" s="11">
        <v>-0.61723426065384601</v>
      </c>
      <c r="F951" s="11">
        <v>0.248702577657816</v>
      </c>
      <c r="G951" s="11">
        <v>-2.4818169014037501</v>
      </c>
      <c r="H951" s="11">
        <v>-1.12446651194041</v>
      </c>
      <c r="I951" s="11">
        <v>-0.11000200936728401</v>
      </c>
      <c r="J951" s="11">
        <v>1.8697129160311202E-2</v>
      </c>
      <c r="K951" s="11" t="s">
        <v>61</v>
      </c>
    </row>
    <row r="952" spans="1:11" hidden="1" x14ac:dyDescent="0.2">
      <c r="A952" s="204" t="s">
        <v>277</v>
      </c>
      <c r="B952" s="138" t="s">
        <v>252</v>
      </c>
      <c r="C952" s="42" t="s">
        <v>66</v>
      </c>
      <c r="D952" s="42" t="s">
        <v>279</v>
      </c>
      <c r="E952" s="42">
        <v>-0.30401072048421302</v>
      </c>
      <c r="F952" s="42">
        <v>0.28757489568859201</v>
      </c>
      <c r="G952" s="42">
        <v>-1.0571531974523201</v>
      </c>
      <c r="H952" s="42">
        <v>-0.87421861601557105</v>
      </c>
      <c r="I952" s="42">
        <v>0.26619717504714502</v>
      </c>
      <c r="J952" s="42">
        <v>0.29286782176377901</v>
      </c>
      <c r="K952" s="42"/>
    </row>
    <row r="953" spans="1:11" hidden="1" x14ac:dyDescent="0.2">
      <c r="A953" s="205" t="s">
        <v>277</v>
      </c>
      <c r="B953" s="145" t="s">
        <v>252</v>
      </c>
      <c r="C953" s="159" t="s">
        <v>64</v>
      </c>
      <c r="D953" t="s">
        <v>279</v>
      </c>
      <c r="E953">
        <v>-0.42961370141099697</v>
      </c>
      <c r="F953">
        <v>0.36660774553680298</v>
      </c>
      <c r="G953">
        <v>-1.1718620423088399</v>
      </c>
      <c r="H953">
        <v>-1.1604328853946599</v>
      </c>
      <c r="I953">
        <v>0.30120548257266599</v>
      </c>
      <c r="J953">
        <v>0.24511562500563899</v>
      </c>
    </row>
    <row r="954" spans="1:11" hidden="1" x14ac:dyDescent="0.2">
      <c r="A954" s="205" t="s">
        <v>277</v>
      </c>
      <c r="B954" s="145" t="s">
        <v>252</v>
      </c>
      <c r="C954" s="159" t="s">
        <v>65</v>
      </c>
      <c r="D954" t="s">
        <v>279</v>
      </c>
      <c r="E954">
        <v>0.473683921077586</v>
      </c>
      <c r="F954">
        <v>0.41592862308557998</v>
      </c>
      <c r="G954">
        <v>1.1388586761919599</v>
      </c>
      <c r="H954">
        <v>-0.37460809844659798</v>
      </c>
      <c r="I954">
        <v>1.3219759406017699</v>
      </c>
      <c r="J954">
        <v>0.26348663094014402</v>
      </c>
    </row>
    <row r="955" spans="1:11" hidden="1" x14ac:dyDescent="0.2">
      <c r="A955" s="197" t="s">
        <v>277</v>
      </c>
      <c r="B955" s="139" t="s">
        <v>253</v>
      </c>
      <c r="C955" s="42" t="s">
        <v>66</v>
      </c>
      <c r="D955" s="42" t="s">
        <v>279</v>
      </c>
      <c r="E955" s="42">
        <v>-0.17583762544861101</v>
      </c>
      <c r="F955" s="42">
        <v>0.25961180341553097</v>
      </c>
      <c r="G955" s="42">
        <v>-0.677309826191408</v>
      </c>
      <c r="H955" s="42">
        <v>-0.69059987451840199</v>
      </c>
      <c r="I955" s="42">
        <v>0.33892462362117998</v>
      </c>
      <c r="J955" s="42">
        <v>0.49969900812665902</v>
      </c>
      <c r="K955" s="42"/>
    </row>
    <row r="956" spans="1:11" hidden="1" x14ac:dyDescent="0.2">
      <c r="A956" s="205" t="s">
        <v>277</v>
      </c>
      <c r="B956" s="146" t="s">
        <v>253</v>
      </c>
      <c r="C956" s="159" t="s">
        <v>64</v>
      </c>
      <c r="D956" t="s">
        <v>279</v>
      </c>
      <c r="E956">
        <v>-0.31949981504347802</v>
      </c>
      <c r="F956">
        <v>0.31110162481914899</v>
      </c>
      <c r="G956">
        <v>-1.02699500598626</v>
      </c>
      <c r="H956">
        <v>-0.939669569649763</v>
      </c>
      <c r="I956">
        <v>0.30066993956280702</v>
      </c>
      <c r="J956">
        <v>0.30786076307863502</v>
      </c>
    </row>
    <row r="957" spans="1:11" hidden="1" x14ac:dyDescent="0.2">
      <c r="A957" s="205" t="s">
        <v>277</v>
      </c>
      <c r="B957" s="146" t="s">
        <v>253</v>
      </c>
      <c r="C957" s="159" t="s">
        <v>65</v>
      </c>
      <c r="D957" t="s">
        <v>279</v>
      </c>
      <c r="E957">
        <v>0.31545879635344898</v>
      </c>
      <c r="F957">
        <v>0.532119787860723</v>
      </c>
      <c r="G957">
        <v>0.59283417672115901</v>
      </c>
      <c r="H957">
        <v>-0.76980666608209902</v>
      </c>
      <c r="I957">
        <v>1.4007242587890001</v>
      </c>
      <c r="J957">
        <v>0.55759249964397395</v>
      </c>
    </row>
    <row r="958" spans="1:11" hidden="1" x14ac:dyDescent="0.2">
      <c r="A958" s="197" t="s">
        <v>277</v>
      </c>
      <c r="B958" s="140" t="s">
        <v>254</v>
      </c>
      <c r="C958" s="42" t="s">
        <v>66</v>
      </c>
      <c r="D958" s="42" t="s">
        <v>279</v>
      </c>
      <c r="E958" s="42">
        <v>-0.13817203977592599</v>
      </c>
      <c r="F958" s="42">
        <v>0.23702522508233001</v>
      </c>
      <c r="G958" s="42">
        <v>-0.58294234180320703</v>
      </c>
      <c r="H958" s="42">
        <v>-0.60814927634387805</v>
      </c>
      <c r="I958" s="42">
        <v>0.33180519679202702</v>
      </c>
      <c r="J958" s="42">
        <v>0.56118201083743102</v>
      </c>
      <c r="K958" s="42"/>
    </row>
    <row r="959" spans="1:11" hidden="1" x14ac:dyDescent="0.2">
      <c r="A959" s="205" t="s">
        <v>277</v>
      </c>
      <c r="B959" s="147" t="s">
        <v>254</v>
      </c>
      <c r="C959" s="159" t="s">
        <v>64</v>
      </c>
      <c r="D959" t="s">
        <v>279</v>
      </c>
      <c r="E959">
        <v>0.122075304870418</v>
      </c>
      <c r="F959">
        <v>0.28256111078166402</v>
      </c>
      <c r="G959">
        <v>0.43203151535154299</v>
      </c>
      <c r="H959">
        <v>-0.441199974828338</v>
      </c>
      <c r="I959">
        <v>0.68535058456917297</v>
      </c>
      <c r="J959">
        <v>0.66700961612618004</v>
      </c>
    </row>
    <row r="960" spans="1:11" hidden="1" x14ac:dyDescent="0.2">
      <c r="A960" s="205" t="s">
        <v>277</v>
      </c>
      <c r="B960" s="147" t="s">
        <v>254</v>
      </c>
      <c r="C960" s="160" t="s">
        <v>65</v>
      </c>
      <c r="D960" s="11" t="s">
        <v>279</v>
      </c>
      <c r="E960" s="11">
        <v>-1.38389023991379</v>
      </c>
      <c r="F960" s="11">
        <v>0.44267374408135801</v>
      </c>
      <c r="G960" s="11">
        <v>-3.12620808985556</v>
      </c>
      <c r="H960" s="11">
        <v>-2.2867292933343601</v>
      </c>
      <c r="I960" s="11">
        <v>-0.48105118649321899</v>
      </c>
      <c r="J960" s="11">
        <v>3.8306808841848E-3</v>
      </c>
      <c r="K960" s="11" t="s">
        <v>61</v>
      </c>
    </row>
    <row r="961" spans="1:11" hidden="1" x14ac:dyDescent="0.2">
      <c r="A961" s="197" t="s">
        <v>277</v>
      </c>
      <c r="B961" s="141" t="s">
        <v>255</v>
      </c>
      <c r="C961" s="42" t="s">
        <v>66</v>
      </c>
      <c r="D961" s="42" t="s">
        <v>279</v>
      </c>
      <c r="E961" s="42">
        <v>-7.1425396087962806E-2</v>
      </c>
      <c r="F961" s="42">
        <v>0.23281859377588299</v>
      </c>
      <c r="G961" s="42">
        <v>-0.306785617632922</v>
      </c>
      <c r="H961" s="42">
        <v>-0.53306165985026899</v>
      </c>
      <c r="I961" s="42">
        <v>0.39021086767434299</v>
      </c>
      <c r="J961" s="42">
        <v>0.759614117720949</v>
      </c>
      <c r="K961" s="42"/>
    </row>
    <row r="962" spans="1:11" hidden="1" x14ac:dyDescent="0.2">
      <c r="A962" s="205" t="s">
        <v>277</v>
      </c>
      <c r="B962" s="148" t="s">
        <v>255</v>
      </c>
      <c r="C962" s="160" t="s">
        <v>64</v>
      </c>
      <c r="D962" s="11" t="s">
        <v>279</v>
      </c>
      <c r="E962" s="11">
        <v>-0.37329990340920699</v>
      </c>
      <c r="F962" s="11">
        <v>0.183096894224243</v>
      </c>
      <c r="G962" s="11">
        <v>-2.0388106799453301</v>
      </c>
      <c r="H962" s="11">
        <v>-0.73829689121417896</v>
      </c>
      <c r="I962" s="11">
        <v>-8.3029156042352999E-3</v>
      </c>
      <c r="J962" s="11">
        <v>4.51413301060219E-2</v>
      </c>
      <c r="K962" s="11" t="s">
        <v>61</v>
      </c>
    </row>
    <row r="963" spans="1:11" hidden="1" x14ac:dyDescent="0.2">
      <c r="A963" s="205" t="s">
        <v>277</v>
      </c>
      <c r="B963" s="148" t="s">
        <v>255</v>
      </c>
      <c r="C963" s="159" t="s">
        <v>65</v>
      </c>
      <c r="D963" t="s">
        <v>279</v>
      </c>
      <c r="E963">
        <v>0.81345561993103799</v>
      </c>
      <c r="F963">
        <v>0.795837229797285</v>
      </c>
      <c r="G963">
        <v>1.02213818287722</v>
      </c>
      <c r="H963">
        <v>-0.80966511138339303</v>
      </c>
      <c r="I963">
        <v>2.4365763512454701</v>
      </c>
      <c r="J963">
        <v>0.31462628672565401</v>
      </c>
    </row>
    <row r="964" spans="1:11" hidden="1" x14ac:dyDescent="0.2">
      <c r="A964" s="197" t="s">
        <v>277</v>
      </c>
      <c r="B964" s="129" t="s">
        <v>26</v>
      </c>
      <c r="C964" s="42" t="s">
        <v>66</v>
      </c>
      <c r="D964" s="42" t="s">
        <v>279</v>
      </c>
      <c r="E964" s="42">
        <v>-0.18589475772175901</v>
      </c>
      <c r="F964" s="42">
        <v>0.26565291151728398</v>
      </c>
      <c r="G964" s="42">
        <v>-0.699765557471273</v>
      </c>
      <c r="H964" s="42">
        <v>-0.71263540820635496</v>
      </c>
      <c r="I964" s="42">
        <v>0.340845892762837</v>
      </c>
      <c r="J964" s="42">
        <v>0.48562117098702001</v>
      </c>
      <c r="K964" s="42"/>
    </row>
    <row r="965" spans="1:11" hidden="1" x14ac:dyDescent="0.2">
      <c r="A965" s="205" t="s">
        <v>277</v>
      </c>
      <c r="B965" s="150" t="s">
        <v>26</v>
      </c>
      <c r="C965" s="159" t="s">
        <v>64</v>
      </c>
      <c r="D965" t="s">
        <v>279</v>
      </c>
      <c r="E965">
        <v>-0.30594990876811601</v>
      </c>
      <c r="F965">
        <v>0.33069890951749398</v>
      </c>
      <c r="G965">
        <v>-0.92516152900084003</v>
      </c>
      <c r="H965">
        <v>-0.965186136426052</v>
      </c>
      <c r="I965">
        <v>0.35328631888981998</v>
      </c>
      <c r="J965">
        <v>0.35797240976060901</v>
      </c>
    </row>
    <row r="966" spans="1:11" hidden="1" x14ac:dyDescent="0.2">
      <c r="A966" s="205" t="s">
        <v>277</v>
      </c>
      <c r="B966" s="150" t="s">
        <v>26</v>
      </c>
      <c r="C966" s="159" t="s">
        <v>65</v>
      </c>
      <c r="D966" t="s">
        <v>279</v>
      </c>
      <c r="E966">
        <v>0.371308085146553</v>
      </c>
      <c r="F966">
        <v>0.46386644194250298</v>
      </c>
      <c r="G966">
        <v>0.80046334800950503</v>
      </c>
      <c r="H966">
        <v>-0.57475376052724103</v>
      </c>
      <c r="I966">
        <v>1.3173699308203499</v>
      </c>
      <c r="J966">
        <v>0.42953453573612699</v>
      </c>
    </row>
    <row r="967" spans="1:11" hidden="1" x14ac:dyDescent="0.2">
      <c r="A967" s="197" t="s">
        <v>277</v>
      </c>
      <c r="B967" s="128" t="s">
        <v>17</v>
      </c>
      <c r="C967" s="42" t="s">
        <v>66</v>
      </c>
      <c r="D967" s="42" t="s">
        <v>279</v>
      </c>
      <c r="E967" s="42">
        <v>-0.26931999489490799</v>
      </c>
      <c r="F967" s="42">
        <v>0.25848927509437403</v>
      </c>
      <c r="G967" s="42">
        <v>-1.04190007417747</v>
      </c>
      <c r="H967" s="42">
        <v>-0.78185647766424304</v>
      </c>
      <c r="I967" s="42">
        <v>0.24321648787442701</v>
      </c>
      <c r="J967" s="42">
        <v>0.29985104762516801</v>
      </c>
      <c r="K967" s="42"/>
    </row>
    <row r="968" spans="1:11" hidden="1" x14ac:dyDescent="0.2">
      <c r="A968" s="205" t="s">
        <v>277</v>
      </c>
      <c r="B968" s="151" t="s">
        <v>17</v>
      </c>
      <c r="C968" s="159" t="s">
        <v>64</v>
      </c>
      <c r="D968" t="s">
        <v>279</v>
      </c>
      <c r="E968">
        <v>-0.44534128594288103</v>
      </c>
      <c r="F968">
        <v>0.33074790813750798</v>
      </c>
      <c r="G968">
        <v>-1.3464674302875099</v>
      </c>
      <c r="H968">
        <v>-1.1046751905646299</v>
      </c>
      <c r="I968">
        <v>0.21399261867886901</v>
      </c>
      <c r="J968">
        <v>0.18237541581060299</v>
      </c>
    </row>
    <row r="969" spans="1:11" hidden="1" x14ac:dyDescent="0.2">
      <c r="A969" s="205" t="s">
        <v>277</v>
      </c>
      <c r="B969" s="151" t="s">
        <v>17</v>
      </c>
      <c r="C969" s="159" t="s">
        <v>65</v>
      </c>
      <c r="D969" t="s">
        <v>279</v>
      </c>
      <c r="E969">
        <v>0.43539649537931202</v>
      </c>
      <c r="F969">
        <v>0.36375861604378801</v>
      </c>
      <c r="G969">
        <v>1.19693795878886</v>
      </c>
      <c r="H969">
        <v>-0.30649409328454202</v>
      </c>
      <c r="I969">
        <v>1.17728708404317</v>
      </c>
      <c r="J969">
        <v>0.24040425131413901</v>
      </c>
    </row>
    <row r="970" spans="1:11" hidden="1" x14ac:dyDescent="0.2">
      <c r="A970" s="197" t="s">
        <v>277</v>
      </c>
      <c r="B970" s="124" t="s">
        <v>21</v>
      </c>
      <c r="C970" s="42" t="s">
        <v>66</v>
      </c>
      <c r="D970" s="42" t="s">
        <v>279</v>
      </c>
      <c r="E970" s="42">
        <v>-0.21002688296944499</v>
      </c>
      <c r="F970" s="42">
        <v>0.25496419331363102</v>
      </c>
      <c r="G970" s="42">
        <v>-0.82375050488399804</v>
      </c>
      <c r="H970" s="42">
        <v>-0.71557377974254499</v>
      </c>
      <c r="I970" s="42">
        <v>0.295520013803656</v>
      </c>
      <c r="J970" s="42">
        <v>0.41194849456670402</v>
      </c>
      <c r="K970" s="42"/>
    </row>
    <row r="971" spans="1:11" hidden="1" x14ac:dyDescent="0.2">
      <c r="A971" s="205" t="s">
        <v>277</v>
      </c>
      <c r="B971" s="152" t="s">
        <v>21</v>
      </c>
      <c r="C971" s="159" t="s">
        <v>64</v>
      </c>
      <c r="D971" t="s">
        <v>279</v>
      </c>
      <c r="E971">
        <v>-0.43858877220204601</v>
      </c>
      <c r="F971">
        <v>0.30181793719720101</v>
      </c>
      <c r="G971">
        <v>-1.4531567483197101</v>
      </c>
      <c r="H971">
        <v>-1.04025183376971</v>
      </c>
      <c r="I971">
        <v>0.16307428936561499</v>
      </c>
      <c r="J971">
        <v>0.15052497117862701</v>
      </c>
    </row>
    <row r="972" spans="1:11" hidden="1" x14ac:dyDescent="0.2">
      <c r="A972" s="205" t="s">
        <v>277</v>
      </c>
      <c r="B972" s="152" t="s">
        <v>21</v>
      </c>
      <c r="C972" s="159" t="s">
        <v>65</v>
      </c>
      <c r="D972" t="s">
        <v>279</v>
      </c>
      <c r="E972">
        <v>0.56243831068965799</v>
      </c>
      <c r="F972">
        <v>0.52377484421648102</v>
      </c>
      <c r="G972">
        <v>1.0738169595200999</v>
      </c>
      <c r="H972">
        <v>-0.50580752697403997</v>
      </c>
      <c r="I972">
        <v>1.6306841483533601</v>
      </c>
      <c r="J972">
        <v>0.29119251010566899</v>
      </c>
    </row>
    <row r="973" spans="1:11" hidden="1" x14ac:dyDescent="0.2">
      <c r="A973" s="197" t="s">
        <v>277</v>
      </c>
      <c r="B973" s="142" t="s">
        <v>29</v>
      </c>
      <c r="C973" s="42" t="s">
        <v>66</v>
      </c>
      <c r="D973" s="42" t="s">
        <v>279</v>
      </c>
      <c r="E973" s="42">
        <v>7.1175080204629704E-2</v>
      </c>
      <c r="F973" s="42">
        <v>0.24658664066962799</v>
      </c>
      <c r="G973" s="42">
        <v>0.288641266255736</v>
      </c>
      <c r="H973" s="42">
        <v>-0.41776067722892002</v>
      </c>
      <c r="I973" s="42">
        <v>0.56011083763817904</v>
      </c>
      <c r="J973" s="42">
        <v>0.77342496903507496</v>
      </c>
      <c r="K973" s="42"/>
    </row>
    <row r="974" spans="1:11" hidden="1" x14ac:dyDescent="0.2">
      <c r="A974" s="205" t="s">
        <v>277</v>
      </c>
      <c r="B974" s="154" t="s">
        <v>29</v>
      </c>
      <c r="C974" s="159" t="s">
        <v>64</v>
      </c>
      <c r="D974" t="s">
        <v>279</v>
      </c>
      <c r="E974">
        <v>0.31618804893094599</v>
      </c>
      <c r="F974">
        <v>0.31420629584163401</v>
      </c>
      <c r="G974">
        <v>1.00630717180254</v>
      </c>
      <c r="H974">
        <v>-0.31017075424513402</v>
      </c>
      <c r="I974">
        <v>0.94254685210702605</v>
      </c>
      <c r="J974">
        <v>0.317637847491192</v>
      </c>
    </row>
    <row r="975" spans="1:11" hidden="1" x14ac:dyDescent="0.2">
      <c r="A975" s="205" t="s">
        <v>277</v>
      </c>
      <c r="B975" s="154" t="s">
        <v>29</v>
      </c>
      <c r="C975" s="161" t="s">
        <v>65</v>
      </c>
      <c r="D975" s="20" t="s">
        <v>279</v>
      </c>
      <c r="E975" s="20">
        <v>-0.57518820396551595</v>
      </c>
      <c r="F975" s="20">
        <v>0.31221436306667799</v>
      </c>
      <c r="G975" s="20">
        <v>-1.84228617260211</v>
      </c>
      <c r="H975" s="20">
        <v>-1.2119535955981</v>
      </c>
      <c r="I975" s="20">
        <v>6.15771876670635E-2</v>
      </c>
      <c r="J975" s="20">
        <v>7.5016845590137396E-2</v>
      </c>
      <c r="K975" s="20" t="s">
        <v>200</v>
      </c>
    </row>
    <row r="976" spans="1:11" hidden="1" x14ac:dyDescent="0.2">
      <c r="A976" s="197" t="s">
        <v>277</v>
      </c>
      <c r="B976" s="118" t="s">
        <v>18</v>
      </c>
      <c r="C976" s="42" t="s">
        <v>66</v>
      </c>
      <c r="D976" s="42" t="s">
        <v>279</v>
      </c>
      <c r="E976" s="42">
        <v>-0.16615625001527801</v>
      </c>
      <c r="F976" s="42">
        <v>0.225962365770808</v>
      </c>
      <c r="G976" s="42">
        <v>-0.73532709506063798</v>
      </c>
      <c r="H976" s="42">
        <v>-0.61419788016849997</v>
      </c>
      <c r="I976" s="42">
        <v>0.28188538013794501</v>
      </c>
      <c r="J976" s="42">
        <v>0.46377961674516199</v>
      </c>
      <c r="K976" s="42"/>
    </row>
    <row r="977" spans="1:11" hidden="1" x14ac:dyDescent="0.2">
      <c r="A977" s="205" t="s">
        <v>277</v>
      </c>
      <c r="B977" s="155" t="s">
        <v>18</v>
      </c>
      <c r="C977" s="159" t="s">
        <v>64</v>
      </c>
      <c r="D977" t="s">
        <v>279</v>
      </c>
      <c r="E977">
        <v>3.2786002228474102E-2</v>
      </c>
      <c r="F977">
        <v>0.27931204268186599</v>
      </c>
      <c r="G977">
        <v>0.117381269757198</v>
      </c>
      <c r="H977">
        <v>-0.52401237858773198</v>
      </c>
      <c r="I977">
        <v>0.58958438304467997</v>
      </c>
      <c r="J977">
        <v>0.90688475664166002</v>
      </c>
    </row>
    <row r="978" spans="1:11" hidden="1" x14ac:dyDescent="0.2">
      <c r="A978" s="205" t="s">
        <v>277</v>
      </c>
      <c r="B978" s="155" t="s">
        <v>18</v>
      </c>
      <c r="C978" s="159" t="s">
        <v>65</v>
      </c>
      <c r="D978" t="s">
        <v>279</v>
      </c>
      <c r="E978">
        <v>-0.62613097027586195</v>
      </c>
      <c r="F978">
        <v>0.37025167697109601</v>
      </c>
      <c r="G978">
        <v>-1.69109556882504</v>
      </c>
      <c r="H978">
        <v>-1.38126424400923</v>
      </c>
      <c r="I978">
        <v>0.12900230345750799</v>
      </c>
      <c r="J978">
        <v>0.100850113607846</v>
      </c>
    </row>
    <row r="979" spans="1:11" hidden="1" x14ac:dyDescent="0.2">
      <c r="A979" s="197" t="s">
        <v>277</v>
      </c>
      <c r="B979" s="120" t="s">
        <v>14</v>
      </c>
      <c r="C979" s="42" t="s">
        <v>66</v>
      </c>
      <c r="D979" s="42" t="s">
        <v>279</v>
      </c>
      <c r="E979" s="42">
        <v>-0.24805231451250001</v>
      </c>
      <c r="F979" s="42">
        <v>0.22380999609948701</v>
      </c>
      <c r="G979" s="42">
        <v>-1.10831651327243</v>
      </c>
      <c r="H979" s="42">
        <v>-0.69182619320657301</v>
      </c>
      <c r="I979" s="42">
        <v>0.19572156418157299</v>
      </c>
      <c r="J979" s="42">
        <v>0.27025740746684301</v>
      </c>
      <c r="K979" s="42"/>
    </row>
    <row r="980" spans="1:11" hidden="1" x14ac:dyDescent="0.2">
      <c r="A980" s="205" t="s">
        <v>277</v>
      </c>
      <c r="B980" s="121" t="s">
        <v>14</v>
      </c>
      <c r="C980" s="159" t="s">
        <v>64</v>
      </c>
      <c r="D980" t="s">
        <v>279</v>
      </c>
      <c r="E980">
        <v>-0.106122946948849</v>
      </c>
      <c r="F980">
        <v>0.27341249080771102</v>
      </c>
      <c r="G980">
        <v>-0.38814227775527699</v>
      </c>
      <c r="H980">
        <v>-0.65116078604429495</v>
      </c>
      <c r="I980">
        <v>0.43891489214659701</v>
      </c>
      <c r="J980">
        <v>0.69905600789378997</v>
      </c>
    </row>
    <row r="981" spans="1:11" hidden="1" x14ac:dyDescent="0.2">
      <c r="A981" s="205" t="s">
        <v>277</v>
      </c>
      <c r="B981" s="121" t="s">
        <v>14</v>
      </c>
      <c r="C981" s="159" t="s">
        <v>65</v>
      </c>
      <c r="D981" t="s">
        <v>279</v>
      </c>
      <c r="E981">
        <v>-0.44288430812931001</v>
      </c>
      <c r="F981">
        <v>0.39981790719316701</v>
      </c>
      <c r="G981">
        <v>-1.10771503767423</v>
      </c>
      <c r="H981">
        <v>-1.25831830595984</v>
      </c>
      <c r="I981">
        <v>0.37254968970122398</v>
      </c>
      <c r="J981">
        <v>0.27650596314842801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PCA Models</vt:lpstr>
      <vt:lpstr>PCs Stratified</vt:lpstr>
      <vt:lpstr>Biomarker OLS</vt:lpstr>
      <vt:lpstr>PC1 Top 10 OLS</vt:lpstr>
      <vt:lpstr>PC1 Stratified Top 10</vt:lpstr>
      <vt:lpstr>PC2 Top 10 OLS</vt:lpstr>
      <vt:lpstr>PC2 Stratified 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Colleen Burke</cp:lastModifiedBy>
  <dcterms:created xsi:type="dcterms:W3CDTF">2025-10-29T19:55:33Z</dcterms:created>
  <dcterms:modified xsi:type="dcterms:W3CDTF">2025-12-18T17:46:29Z</dcterms:modified>
</cp:coreProperties>
</file>